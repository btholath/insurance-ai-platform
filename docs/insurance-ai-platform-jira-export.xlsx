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Epic" sheetId="3" state="visible" r:id="rId5"/>
    <sheet name="Stories &amp; Tasks" sheetId="4" state="visible" r:id="rId6"/>
    <sheet name="Subtasks" sheetId="5" state="visible" r:id="rId7"/>
    <sheet name="Traceability Matrix"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<sst xmlns="http://schemas.openxmlformats.org/spreadsheetml/2006/main" count="898" uniqueCount="378">
  <si>
    <t xml:space="preserve">Insurance AI Platform — Phase 1 JIRA Export</t>
  </si>
  <si>
    <t xml:space="preserve">Epic / Story / Task / Subtask breakdown, generated from the real project artifacts</t>
  </si>
  <si>
    <t xml:space="preserve">Source of truth</t>
  </si>
  <si>
    <t xml:space="preserve">Every row in this workbook traces to a real artifact in github.com/btholath/insurance-ai-platform: spec.md (User Stories, FR-XXX requirements), tasks.md (all 74 tasks, including T053a/T053b added via /speckit-analyze remediation), and the /speckit-analyze coverage report (FR-to-task traceability).</t>
  </si>
  <si>
    <t xml:space="preserve">Hierarchy used</t>
  </si>
  <si>
    <t xml:space="preserve">Epic (1) → Story/Task (8, parent-level) → Subtask (74). This mirrors standard JIRA structure: 'Story' = user-facing capability (from spec.md's 5 User Stories), 'Task' = technical work with no natural user-facing framing (Setup, Foundational, Polish phases).</t>
  </si>
  <si>
    <t xml:space="preserve">Status as of</t>
  </si>
  <si>
    <t xml:space="preserve">2026-08-01. T001-T030 (Setup + Foundational) are Done, independently verified against the live database and source code — see readme-runbook-phase1.md in the repo for the full verification trail. T031-T072 (+T053a/T053b) are To Do.</t>
  </si>
  <si>
    <t xml:space="preserve">How to import into real JIRA</t>
  </si>
  <si>
    <t xml:space="preserve">The 'Subtasks' sheet's columns (Issue Type, Summary, Parent, Description, Status, Labels) match JIRA's CSV importer field names closely enough to use directly — export that sheet as CSV, map 'Parent' to Epic Link or Parent depending on your project type (company-managed vs. team-managed), then re-run the import for the 'Stories &amp; Tasks' sheet first so parent keys exist before subtasks reference them.</t>
  </si>
  <si>
    <t xml:space="preserve">Assumption disclosed</t>
  </si>
  <si>
    <t xml:space="preserve">JIRA issue keys (INSAI-1, INSAI-2, ...) are placeholder keys for this export — they are not real keys from a live JIRA instance, since this project has not actually been entered into JIRA. Renumber to match your real project key on import.</t>
  </si>
  <si>
    <t xml:space="preserve">FR-032/033/034's task mapping on the 'Traceability Matrix' sheet is marked where it was directly confirmed against a task's own cited FR number in tasks.md's text, versus where it is an inference based on requirement-text similarity — see that sheet's 'Confidence' column.</t>
  </si>
  <si>
    <t xml:space="preserve">Phase 1 Progress Dashboard</t>
  </si>
  <si>
    <t xml:space="preserve">All figures below are live formulas referencing the Subtasks sheet — they recalculate if task statuses change.</t>
  </si>
  <si>
    <t xml:space="preserve">Metric</t>
  </si>
  <si>
    <t xml:space="preserve">Value</t>
  </si>
  <si>
    <t xml:space="preserve">Notes</t>
  </si>
  <si>
    <t xml:space="preserve">Total subtasks</t>
  </si>
  <si>
    <t xml:space="preserve">All T-numbers, including T053a/T053b</t>
  </si>
  <si>
    <t xml:space="preserve">Done</t>
  </si>
  <si>
    <t xml:space="preserve">T001-T030 — Setup + Foundational</t>
  </si>
  <si>
    <t xml:space="preserve">To Do</t>
  </si>
  <si>
    <t xml:space="preserve">T031-T072, +T053a/T053b</t>
  </si>
  <si>
    <t xml:space="preserve">% Complete</t>
  </si>
  <si>
    <t xml:space="preserve">Done ÷ Total</t>
  </si>
  <si>
    <t xml:space="preserve">Parallel-capable tasks [P]</t>
  </si>
  <si>
    <t xml:space="preserve">Can run concurrently per tasks.md</t>
  </si>
  <si>
    <t xml:space="preserve">Breakdown by parent Story/Task</t>
  </si>
  <si>
    <t xml:space="preserve">Parent Key</t>
  </si>
  <si>
    <t xml:space="preserve">Parent Summary</t>
  </si>
  <si>
    <t xml:space="preserve">Subtask Count</t>
  </si>
  <si>
    <t xml:space="preserve">INSAI-2</t>
  </si>
  <si>
    <t xml:space="preserve">Setup: Repository Scaffolding</t>
  </si>
  <si>
    <t xml:space="preserve">INSAI-3</t>
  </si>
  <si>
    <t xml:space="preserve">Foundational: Django Project, RBAC, Audit, Compose</t>
  </si>
  <si>
    <t xml:space="preserve">INSAI-4</t>
  </si>
  <si>
    <t xml:space="preserve">US1: Platform Runs Locally</t>
  </si>
  <si>
    <t xml:space="preserve">INSAI-5</t>
  </si>
  <si>
    <t xml:space="preserve">US2: Roles &amp; RBAC Enforced</t>
  </si>
  <si>
    <t xml:space="preserve">INSAI-6</t>
  </si>
  <si>
    <t xml:space="preserve">US3: Unalterable Audit Record</t>
  </si>
  <si>
    <t xml:space="preserve">INSAI-7</t>
  </si>
  <si>
    <t xml:space="preserve">US4: System Health at a Glance</t>
  </si>
  <si>
    <t xml:space="preserve">INSAI-8</t>
  </si>
  <si>
    <t xml:space="preserve">US5: Automated Tests From Day One</t>
  </si>
  <si>
    <t xml:space="preserve">INSAI-9</t>
  </si>
  <si>
    <t xml:space="preserve">Polish &amp; Cross-Cutting Validation</t>
  </si>
  <si>
    <t xml:space="preserve">Issue Type</t>
  </si>
  <si>
    <t xml:space="preserve">Key</t>
  </si>
  <si>
    <t xml:space="preserve">Summary</t>
  </si>
  <si>
    <t xml:space="preserve">Description</t>
  </si>
  <si>
    <t xml:space="preserve">Priority</t>
  </si>
  <si>
    <t xml:space="preserve">Status</t>
  </si>
  <si>
    <t xml:space="preserve">Reporter</t>
  </si>
  <si>
    <t xml:space="preserve">Labels</t>
  </si>
  <si>
    <t xml:space="preserve">Epic Name</t>
  </si>
  <si>
    <t xml:space="preserve">Epic</t>
  </si>
  <si>
    <t xml:space="preserve">INSAI-1</t>
  </si>
  <si>
    <t xml:space="preserve">Phase 1 - Foundation: Platform Skeleton &amp; Role-Based Access</t>
  </si>
  <si>
    <t xml:space="preserve">This feature establishes the foundation on which every later module (Customer, Policy, Claims, Risk, Fraud, Behavior, Prompt Library, LLM Services, CRM, Dashboards, Reporting, Administration) will be built. It delivers no business-facing insurance functionality of its own. Its value is that it makes the next phases possible, and it makes the platform's two non-negotiable guarantees - server-side role enforcement and audit logging - structurally available from day one rather than retrofitted later. Scope: an identity and access foundation, a running local service environment, an operational health signal, an append-only audit record, and a working automated-test capability. (Source: spec.md Overview, specs/001-foundation-platform-skeleton/spec.md)</t>
  </si>
  <si>
    <t xml:space="preserve">P1 - Highest</t>
  </si>
  <si>
    <t xml:space="preserve">In Progress</t>
  </si>
  <si>
    <t xml:space="preserve">btholath</t>
  </si>
  <si>
    <t xml:space="preserve">phase-1, foundation, rbac, audit-logging</t>
  </si>
  <si>
    <t xml:space="preserve">Foundation</t>
  </si>
  <si>
    <t xml:space="preserve">Epic Link</t>
  </si>
  <si>
    <t xml:space="preserve">Acceptance Criteria (from spec.md)</t>
  </si>
  <si>
    <t xml:space="preserve">Story Points (est.)</t>
  </si>
  <si>
    <t xml:space="preserve">Subtask Range</t>
  </si>
  <si>
    <t xml:space="preserve">Task</t>
  </si>
  <si>
    <t xml:space="preserve">Setup: Repository Scaffolding &amp; Dependency Management</t>
  </si>
  <si>
    <t xml:space="preserve">Repository scaffolding, dependency manifest, and Docker image definition. Nothing here is Django-app code yet. (tasks.md Phase 1: Setup)</t>
  </si>
  <si>
    <t xml:space="preserve">Repo has structure, dependency manifest, and container build definition before any application code is written.</t>
  </si>
  <si>
    <t xml:space="preserve">P2 - High</t>
  </si>
  <si>
    <t xml:space="preserve">T001-T006</t>
  </si>
  <si>
    <t xml:space="preserve">Foundational: Django Project, User Model, RBAC, Audit, Compose</t>
  </si>
  <si>
    <t xml:space="preserve">Django project configuration, the custom User model (which must be in place before the first migration and cannot be swapped later), the single RBAC mechanism, the append-only audit log, Docker Compose orchestration, and the pytest/Factory Boy harness. Every user story depends on this phase. (tasks.md Phase 2: Foundational)</t>
  </si>
  <si>
    <t xml:space="preserve">Django project boots under Docker Compose; the custom User model and RBAC mechanism exist; the audit log is append-only at both ORM and DB layers; health check probes work; the test harness is wired.</t>
  </si>
  <si>
    <t xml:space="preserve">T007-T030</t>
  </si>
  <si>
    <t xml:space="preserve">Story</t>
  </si>
  <si>
    <t xml:space="preserve">US1: Platform Operator Runs the Whole System Locally</t>
  </si>
  <si>
    <t xml:space="preserve">A developer or System Administrator clones the repository onto a clean machine and brings the entire platform up locally with a single documented command sequence. The application, its database, and its cache all start and become reachable, with no external cloud service required. (spec.md User Story 1, Priority P1)</t>
  </si>
  <si>
    <t xml:space="preserve">Given a clean checkout, When the operator follows the documented startup sequence, Then app/db/cache all reach a running state without manual intervention beyond copying the example environment file. Data survives a restart. No service requires outbound network access.</t>
  </si>
  <si>
    <t xml:space="preserve">T031-T035</t>
  </si>
  <si>
    <t xml:space="preserve">US2: Administrator Assigns Roles and the System Enforces Them</t>
  </si>
  <si>
    <t xml:space="preserve">A System Administrator creates user accounts and assigns each one exactly one of the nine organizational roles. Every restricted action is decided server-side, and refused if the role does not permit it - regardless of what the UI shows or how the request was constructed. (spec.md User Story 2, Priority P1)</t>
  </si>
  <si>
    <t xml:space="preserve">Given a System Administrator, When they create/patch an account's role, Then it's recorded and enforced immediately. Given any other role or an unauthenticated caller, When they attempt a restricted action, Then it is refused (403 collection / 404 detail, non-disclosing).</t>
  </si>
  <si>
    <t xml:space="preserve">T036-T047</t>
  </si>
  <si>
    <t xml:space="preserve">US3: Compliance Officer Sees an Unalterable Record</t>
  </si>
  <si>
    <t xml:space="preserve">Every user-account creation and role change writes an append-only audit record with actor, action, target, timestamp, outcome, and before/after state. No part of the platform can modify or delete an existing record. (spec.md User Story 3, Priority P2)</t>
  </si>
  <si>
    <t xml:space="preserve">Given an admin action, When it's saved, Then an audit record is created with full required fields. Given an existing record, When modification/deletion is attempted (ORM or raw SQL), Then it is refused. A Compliance Officer can retrieve history chronologically.</t>
  </si>
  <si>
    <t xml:space="preserve">P2 - Medium</t>
  </si>
  <si>
    <t xml:space="preserve">T048-T057 (+T053a, T053b)</t>
  </si>
  <si>
    <t xml:space="preserve">US4: Operator Confirms System Health at a Glance</t>
  </si>
  <si>
    <t xml:space="preserve">An unauthenticated GET /health/ reports healthy/unhealthy status for Postgres and Redis within 5 seconds, identifying any failing dependency individually, without disclosing sensitive details. (spec.md User Story 4, Priority P2)</t>
  </si>
  <si>
    <t xml:space="preserve">Given all services up, When /health/ is queried without credentials, Then it reports healthy. Given the DB is down, When queried, Then it reports unhealthy and names the database specifically, within 5s.</t>
  </si>
  <si>
    <t xml:space="preserve">T058-T064</t>
  </si>
  <si>
    <t xml:space="preserve">US5: Developer Writes and Runs Automated Tests From Day One</t>
  </si>
  <si>
    <t xml:space="preserve">A developer runs the full automated test suite with a single command, and can construct realistic test data - including users in any of the nine roles - without hand-writing setup boilerplate. (spec.md User Story 5, Priority P2)</t>
  </si>
  <si>
    <t xml:space="preserve">Given a fresh checkout, When the test command runs, Then the suite executes, reports pass/fail, produces coverage, and leaves dev data untouched. A test user in any role is a single factory call.</t>
  </si>
  <si>
    <t xml:space="preserve">T065-T068</t>
  </si>
  <si>
    <t xml:space="preserve">Final validation against the complete quickstart guide and constitution re-check; no new functional surface. (tasks.md Phase 8: Polish)</t>
  </si>
  <si>
    <t xml:space="preserve">Full quickstart.md re-run (all 5 scenarios) passes end-to-end. README/setup docs get a fresh-reader timing check against SC-001 (under 30 minutes). Final coverage report reviewed.</t>
  </si>
  <si>
    <t xml:space="preserve">P3 - Low</t>
  </si>
  <si>
    <t xml:space="preserve">T069-T072</t>
  </si>
  <si>
    <t xml:space="preserve">Parent</t>
  </si>
  <si>
    <t xml:space="preserve">Test/Impl</t>
  </si>
  <si>
    <t xml:space="preserve">Parallel [P]</t>
  </si>
  <si>
    <t xml:space="preserve">FR Reference(s)</t>
  </si>
  <si>
    <t xml:space="preserve">Subtask</t>
  </si>
  <si>
    <t xml:space="preserve">T001</t>
  </si>
  <si>
    <t xml:space="preserve">Create root directories per plan.md's Project Structure (config/, apps/, docker/django/, scripts/, tests/integration/)</t>
  </si>
  <si>
    <t xml:space="preserve">Implementation</t>
  </si>
  <si>
    <t xml:space="preserve">No</t>
  </si>
  <si>
    <t xml:space="preserve">T002</t>
  </si>
  <si>
    <t xml:space="preserve">Create pyproject.toml: Django/DRF/psycopg/redis/django-environ/gunicorn deps + pytest/factory-boy dev deps, pytest &amp; coverage config</t>
  </si>
  <si>
    <t xml:space="preserve">FR-031</t>
  </si>
  <si>
    <t xml:space="preserve">T003</t>
  </si>
  <si>
    <t xml:space="preserve">Create docker/django/Dockerfile (python:3.13-slim-bookworm, entrypoint scripts/entrypoint.sh)</t>
  </si>
  <si>
    <t xml:space="preserve">Yes</t>
  </si>
  <si>
    <t xml:space="preserve">T004</t>
  </si>
  <si>
    <t xml:space="preserve">Create scripts/entrypoint.sh: wait for Postgres, run migrate, exec gunicorn</t>
  </si>
  <si>
    <t xml:space="preserve">T005</t>
  </si>
  <si>
    <t xml:space="preserve">Create .env.example listing every required setting (SECRET_KEY, DEBUG, POSTGRES_*, REDIS_URL, ALLOWED_HOSTS)</t>
  </si>
  <si>
    <t xml:space="preserve">FR-004</t>
  </si>
  <si>
    <t xml:space="preserve">T006</t>
  </si>
  <si>
    <t xml:space="preserve">Create .gitignore (.env, __pycache__, .pytest_cache, htmlcov, .coverage, venv)</t>
  </si>
  <si>
    <t xml:space="preserve">T007</t>
  </si>
  <si>
    <t xml:space="preserve">manage.py at repo root, pointing to config.settings.dev</t>
  </si>
  <si>
    <t xml:space="preserve">T008</t>
  </si>
  <si>
    <t xml:space="preserve">config/__init__.py, config/wsgi.py, config/asgi.py</t>
  </si>
  <si>
    <t xml:space="preserve">T009</t>
  </si>
  <si>
    <t xml:space="preserve">config/settings/base.py: INSTALLED_APPS, AUTH_USER_MODEL, django-environ, fail-fast REQUIRED_SETTINGS check</t>
  </si>
  <si>
    <t xml:space="preserve">FR-004, FR-005</t>
  </si>
  <si>
    <t xml:space="preserve">T010</t>
  </si>
  <si>
    <t xml:space="preserve">config/settings/dev.py: imports base, local-dev overrides</t>
  </si>
  <si>
    <t xml:space="preserve">T011</t>
  </si>
  <si>
    <t xml:space="preserve">config/settings/test.py: imports base, MD5PasswordHasher for test speed</t>
  </si>
  <si>
    <t xml:space="preserve">T012</t>
  </si>
  <si>
    <t xml:space="preserve">config/urls.py: root URLconf mounting /health/ and each app's /api/ routes</t>
  </si>
  <si>
    <t xml:space="preserve">T013</t>
  </si>
  <si>
    <t xml:space="preserve">apps/core: AppConfig + TimeStampedModel abstract base</t>
  </si>
  <si>
    <t xml:space="preserve">T014</t>
  </si>
  <si>
    <t xml:space="preserve">apps/core/permissions.py: HasRole(*roles) DRF permission factory - no superuser bypass, deny-by-default, 404-not-403 on detail routes</t>
  </si>
  <si>
    <t xml:space="preserve">FR-011, FR-012, FR-014, FR-015</t>
  </si>
  <si>
    <t xml:space="preserve">T015</t>
  </si>
  <si>
    <t xml:space="preserve">apps/accounts: __init__.py, apps.py</t>
  </si>
  <si>
    <t xml:space="preserve">T016</t>
  </si>
  <si>
    <t xml:space="preserve">apps/accounts/models.py: Role(TextChoices) with 9 values, User(AbstractBaseUser, PermissionsMixin), user_role_valid CheckConstraint</t>
  </si>
  <si>
    <t xml:space="preserve">FR-009, FR-010</t>
  </si>
  <si>
    <t xml:space="preserve">T017</t>
  </si>
  <si>
    <t xml:space="preserve">apps/accounts/managers.py: UserManager.create_user/create_superuser, requires role, normalizes email</t>
  </si>
  <si>
    <t xml:space="preserve">FR-008</t>
  </si>
  <si>
    <t xml:space="preserve">T018</t>
  </si>
  <si>
    <t xml:space="preserve">Generate &amp; commit FIRST migration for apps/accounts - must precede every other app's migration (AUTH_USER_MODEL)</t>
  </si>
  <si>
    <t xml:space="preserve">T019</t>
  </si>
  <si>
    <t xml:space="preserve">apps/accounts/admin.py: register User in Django admin, exclude raw password display</t>
  </si>
  <si>
    <t xml:space="preserve">T020</t>
  </si>
  <si>
    <t xml:space="preserve">apps/accounts/factories.py: UserFactory with per-role trait, single-call role creation</t>
  </si>
  <si>
    <t xml:space="preserve">FR-030</t>
  </si>
  <si>
    <t xml:space="preserve">T021</t>
  </si>
  <si>
    <t xml:space="preserve">apps/audit: __init__.py, apps.py</t>
  </si>
  <si>
    <t xml:space="preserve">T022</t>
  </si>
  <si>
    <t xml:space="preserve">apps/audit/models.py: AuditLog model, save()/delete() override to raise, custom queryset overriding update()/delete()</t>
  </si>
  <si>
    <t xml:space="preserve">FR-018, FR-019, FR-023</t>
  </si>
  <si>
    <t xml:space="preserve">T023</t>
  </si>
  <si>
    <t xml:space="preserve">Generate apps/audit migration incl. RunSQL: PostgreSQL BEFORE UPDATE OR DELETE trigger audit_log_immutable</t>
  </si>
  <si>
    <t xml:space="preserve">FR-019</t>
  </si>
  <si>
    <t xml:space="preserve">T024</t>
  </si>
  <si>
    <t xml:space="preserve">apps/audit/services.py: record_action() - writes one AuditLog row inside caller's transaction.atomic()</t>
  </si>
  <si>
    <t xml:space="preserve">FR-022</t>
  </si>
  <si>
    <t xml:space="preserve">T025</t>
  </si>
  <si>
    <t xml:space="preserve">apps/audit/factories.py: AuditLogFactory for direct test construction</t>
  </si>
  <si>
    <t xml:space="preserve">T026</t>
  </si>
  <si>
    <t xml:space="preserve">apps/health: __init__.py, apps.py</t>
  </si>
  <si>
    <t xml:space="preserve">T027</t>
  </si>
  <si>
    <t xml:space="preserve">apps/health/checks.py: check_database()/check_cache() with 2s bounded timeouts, never raising</t>
  </si>
  <si>
    <t xml:space="preserve">FR-027</t>
  </si>
  <si>
    <t xml:space="preserve">T028</t>
  </si>
  <si>
    <t xml:space="preserve">tests/conftest.py: shared fixtures - api_client, user_in_role, authenticated_client</t>
  </si>
  <si>
    <t xml:space="preserve">T029</t>
  </si>
  <si>
    <t xml:space="preserve">Configure docker-compose.yml: web/db/redis services, healthchecks, named volumes, ports not published by default</t>
  </si>
  <si>
    <t xml:space="preserve">T030</t>
  </si>
  <si>
    <t xml:space="preserve">Verify foundational stack boots: docker compose up --build -d, confirm healthy, migrate applies cleanly</t>
  </si>
  <si>
    <t xml:space="preserve">FR-001</t>
  </si>
  <si>
    <t xml:space="preserve">T031</t>
  </si>
  <si>
    <t xml:space="preserve">Integration test: real DB + Redis connections succeed via configured settings</t>
  </si>
  <si>
    <t xml:space="preserve">Test</t>
  </si>
  <si>
    <t xml:space="preserve">T032</t>
  </si>
  <si>
    <t xml:space="preserve">Test: missing required env var raises ImproperlyConfigured naming the missing setting</t>
  </si>
  <si>
    <t xml:space="preserve">FR-005</t>
  </si>
  <si>
    <t xml:space="preserve">T033</t>
  </si>
  <si>
    <t xml:space="preserve">README.md: exact setup sequence (clone, cp .env.example .env, up --build -d, createsuperuser, verify /health/)</t>
  </si>
  <si>
    <t xml:space="preserve">FR-007</t>
  </si>
  <si>
    <t xml:space="preserve">T034</t>
  </si>
  <si>
    <t xml:space="preserve">Add commented-out host port mapping for db in docker-compose.yml (local psql access)</t>
  </si>
  <si>
    <t xml:space="preserve">T035</t>
  </si>
  <si>
    <t xml:space="preserve">Manually verify SC-010 (restart persistence) and SC-011 (no external network dependency)</t>
  </si>
  <si>
    <t xml:space="preserve">SC-010, SC-011</t>
  </si>
  <si>
    <t xml:space="preserve">T036</t>
  </si>
  <si>
    <t xml:space="preserve">Test: User rejects role outside 9 values at full_clean() and DB CheckConstraint level</t>
  </si>
  <si>
    <t xml:space="preserve">FR-010</t>
  </si>
  <si>
    <t xml:space="preserve">T037</t>
  </si>
  <si>
    <t xml:space="preserve">Test: HasRole matrix - unauthenticated/wrong-role/correct-role/null-role/superuser-not-bypassed</t>
  </si>
  <si>
    <t xml:space="preserve">FR-014</t>
  </si>
  <si>
    <t xml:space="preserve">T038</t>
  </si>
  <si>
    <t xml:space="preserve">Contract test: full 9-role x unauthenticated RBAC matrix against POST/GET /api/users/</t>
  </si>
  <si>
    <t xml:space="preserve">FR-033, SC-002, SC-003</t>
  </si>
  <si>
    <t xml:space="preserve">T039</t>
  </si>
  <si>
    <t xml:space="preserve">Test: invalid role value on POST /api/users/ returns 400, no account created</t>
  </si>
  <si>
    <t xml:space="preserve">T040</t>
  </si>
  <si>
    <t xml:space="preserve">Test: PATCH role change takes effect on affected user's next request, no restart needed</t>
  </si>
  <si>
    <t xml:space="preserve">FR-016</t>
  </si>
  <si>
    <t xml:space="preserve">T041</t>
  </si>
  <si>
    <t xml:space="preserve">Test: UserFactory produces a valid user for each of 9 roles in a single call</t>
  </si>
  <si>
    <t xml:space="preserve">FR-030, SC-009</t>
  </si>
  <si>
    <t xml:space="preserve">T042</t>
  </si>
  <si>
    <t xml:space="preserve">apps/accounts/serializers.py: UserSerializer, password never in response</t>
  </si>
  <si>
    <t xml:space="preserve">T043</t>
  </si>
  <si>
    <t xml:space="preserve">apps/accounts/views.py: UserViewSet, HasRole(SYSTEM_ADMINISTRATOR), writes audit records via record_action()</t>
  </si>
  <si>
    <t xml:space="preserve">FR-017, FR-020</t>
  </si>
  <si>
    <t xml:space="preserve">T044</t>
  </si>
  <si>
    <t xml:space="preserve">apps/accounts/urls.py: route /api/users/ and /api/users/{id}/</t>
  </si>
  <si>
    <t xml:space="preserve">T045</t>
  </si>
  <si>
    <t xml:space="preserve">Session auth endpoints: POST /api/auth/login/, /api/auth/logout/, generic failure message</t>
  </si>
  <si>
    <t xml:space="preserve">T046</t>
  </si>
  <si>
    <t xml:space="preserve">customers/policies/claims placeholder apps: one HasRole-restricted GET .../placeholder/ view each</t>
  </si>
  <si>
    <t xml:space="preserve">FR-006</t>
  </si>
  <si>
    <t xml:space="preserve">T047</t>
  </si>
  <si>
    <t xml:space="preserve">Test: each placeholder endpoint permits documented roles, refuses all others + unauthenticated</t>
  </si>
  <si>
    <t xml:space="preserve">FR-033</t>
  </si>
  <si>
    <t xml:space="preserve">T048</t>
  </si>
  <si>
    <t xml:space="preserve">Test: AuditLog.save()/.delete()/queryset .update()/.delete() all raise on an existing record (ORM layer)</t>
  </si>
  <si>
    <t xml:space="preserve">FR-019, SC-005</t>
  </si>
  <si>
    <t xml:space="preserve">T049</t>
  </si>
  <si>
    <t xml:space="preserve">Integration test: raw DB cursor UPDATE/DELETE against audit_auditlog rejected by the trigger (DB layer)</t>
  </si>
  <si>
    <t xml:space="preserve">T050</t>
  </si>
  <si>
    <t xml:space="preserve">Test: record_action() writes inside caller's transaction; simulated audit-insert failure rolls back the enclosing action too</t>
  </si>
  <si>
    <t xml:space="preserve">T051</t>
  </si>
  <si>
    <t xml:space="preserve">Test: creating a user then changing their role produces exactly user.created then user.role_changed audit entries</t>
  </si>
  <si>
    <t xml:space="preserve">FR-020, SC-004</t>
  </si>
  <si>
    <t xml:space="preserve">T052</t>
  </si>
  <si>
    <t xml:space="preserve">Test: deleting a User with audit entries leaves them readable, actor null, actor_identifier/actor_role intact</t>
  </si>
  <si>
    <t xml:space="preserve">FR-021</t>
  </si>
  <si>
    <t xml:space="preserve">T053</t>
  </si>
  <si>
    <t xml:space="preserve">Contract test: GET /api/audit/ and .../history/ - RBAC (Compliance Officer + Sys Admin only), chronological order</t>
  </si>
  <si>
    <t xml:space="preserve">FR-024</t>
  </si>
  <si>
    <t xml:space="preserve">T053a</t>
  </si>
  <si>
    <t xml:space="preserve">[Added via /speckit-analyze F1 fix] Test: history for a target with ZERO entries returns 200 + count:0, not 404</t>
  </si>
  <si>
    <t xml:space="preserve">T053b</t>
  </si>
  <si>
    <t xml:space="preserve">[Added via /speckit-analyze F2 fix] Test: after actor deletion, API still serializes actor:null + actor_identifier/actor_role (API layer, complements T052)</t>
  </si>
  <si>
    <t xml:space="preserve">T054</t>
  </si>
  <si>
    <t xml:space="preserve">Test: POST/PUT/PATCH/DELETE on any audit route return 405 Method Not Allowed</t>
  </si>
  <si>
    <t xml:space="preserve">T055</t>
  </si>
  <si>
    <t xml:space="preserve">apps/audit/serializers.py: read-only AuditLogSerializer</t>
  </si>
  <si>
    <t xml:space="preserve">T056</t>
  </si>
  <si>
    <t xml:space="preserve">apps/audit/views.py: AuditListView + AuditHistoryView, HasRole(COMPLIANCE_OFFICER, SYSTEM_ADMINISTRATOR), read-only</t>
  </si>
  <si>
    <t xml:space="preserve">T057</t>
  </si>
  <si>
    <t xml:space="preserve">apps/audit/urls.py: route /api/audit/ and /api/audit/history/&lt;type&gt;/&lt;id&gt;/</t>
  </si>
  <si>
    <t xml:space="preserve">T058</t>
  </si>
  <si>
    <t xml:space="preserve">Test: check_database()/check_cache() return ok/error (never raising), within 2s timeout</t>
  </si>
  <si>
    <t xml:space="preserve">T059</t>
  </si>
  <si>
    <t xml:space="preserve">Contract test: GET /health/ returns 200 when healthy, 503 identifying the correct failing dependency</t>
  </si>
  <si>
    <t xml:space="preserve">FR-026, FR-027, SC-007</t>
  </si>
  <si>
    <t xml:space="preserve">T060</t>
  </si>
  <si>
    <t xml:space="preserve">Test: /health/ response contains ONLY status + checks.*.status - no host/port/credential/version leakage</t>
  </si>
  <si>
    <t xml:space="preserve">FR-028</t>
  </si>
  <si>
    <t xml:space="preserve">T061</t>
  </si>
  <si>
    <t xml:space="preserve">Test: /health/ returns within bounded time even when a dependency would otherwise hang</t>
  </si>
  <si>
    <t xml:space="preserve">FR-027, SC-006</t>
  </si>
  <si>
    <t xml:space="preserve">T062</t>
  </si>
  <si>
    <t xml:space="preserve">apps/health/views.py: unauthenticated APIView calling both checks, 200/503 per contracts/health.md</t>
  </si>
  <si>
    <t xml:space="preserve">FR-025</t>
  </si>
  <si>
    <t xml:space="preserve">T063</t>
  </si>
  <si>
    <t xml:space="preserve">apps/health/urls.py: route GET /health/ at root path (not under /api/)</t>
  </si>
  <si>
    <t xml:space="preserve">T064</t>
  </si>
  <si>
    <t xml:space="preserve">Add web service healthcheck to docker-compose.yml (interval 10s, timeout 5s, retries 5, start_period 30s)</t>
  </si>
  <si>
    <t xml:space="preserve">T065</t>
  </si>
  <si>
    <t xml:space="preserve">Test: pytest-django's test database is distinct from the configured dev database (isolation)</t>
  </si>
  <si>
    <t xml:space="preserve">FR-032</t>
  </si>
  <si>
    <t xml:space="preserve">T066</t>
  </si>
  <si>
    <t xml:space="preserve">Document --reuse-db default + --create-db variant in README/quickstart cross-reference</t>
  </si>
  <si>
    <t xml:space="preserve">T067</t>
  </si>
  <si>
    <t xml:space="preserve">Run full suite via docker compose exec web pytest --cov-report=term-missing; confirm pass, coverage, &lt;2min runtime</t>
  </si>
  <si>
    <t xml:space="preserve">SC-008</t>
  </si>
  <si>
    <t xml:space="preserve">T068</t>
  </si>
  <si>
    <t xml:space="preserve">Confirm pytest run twice in a row produces identical dev-database row counts</t>
  </si>
  <si>
    <t xml:space="preserve">T069</t>
  </si>
  <si>
    <t xml:space="preserve">Run quickstart.md Scenario 1 end-to-end: full environment, outbound-blocked check, restart-persistence check</t>
  </si>
  <si>
    <t xml:space="preserve">T070</t>
  </si>
  <si>
    <t xml:space="preserve">Run quickstart.md Scenarios 2-5 end-to-end: RBAC matrix, audit immutability (both layers), health degradation, full test suite</t>
  </si>
  <si>
    <t xml:space="preserve">T071</t>
  </si>
  <si>
    <t xml:space="preserve">Review README/setup docs against FR-007/SC-001: fresh-reader dry run, time to running+tested system (&lt;30 min)</t>
  </si>
  <si>
    <t xml:space="preserve">FR-007, SC-001</t>
  </si>
  <si>
    <t xml:space="preserve">T072</t>
  </si>
  <si>
    <t xml:space="preserve">Final coverage report review: apps/core, accounts, audit, health all have meaningful coverage</t>
  </si>
  <si>
    <t xml:space="preserve">Requirement Traceability Matrix</t>
  </si>
  <si>
    <t xml:space="preserve">Source: /speckit-analyze coverage report (FR-001 to FR-031, Confidence=Confirmed) and direct tasks.md text citations (FR-032 to FR-034, Confidence=Confirmed where a task explicitly cites the FR number).</t>
  </si>
  <si>
    <t xml:space="preserve">FR ID</t>
  </si>
  <si>
    <t xml:space="preserve">Requirement (from spec.md)</t>
  </si>
  <si>
    <t xml:space="preserve">Task ID(s)</t>
  </si>
  <si>
    <t xml:space="preserve">Confidence</t>
  </si>
  <si>
    <t xml:space="preserve">Single declarative local orchestration (all services)</t>
  </si>
  <si>
    <t xml:space="preserve">T029, T030</t>
  </si>
  <si>
    <t xml:space="preserve">Confirmed (analyze report)</t>
  </si>
  <si>
    <t xml:space="preserve">FR-002</t>
  </si>
  <si>
    <t xml:space="preserve">No required call to external cloud service</t>
  </si>
  <si>
    <t xml:space="preserve">FR-003</t>
  </si>
  <si>
    <t xml:space="preserve">Stored data survives stop/restart</t>
  </si>
  <si>
    <t xml:space="preserve">External config via env, example file provided</t>
  </si>
  <si>
    <t xml:space="preserve">T005, T009</t>
  </si>
  <si>
    <t xml:space="preserve">Fail-fast on missing required config</t>
  </si>
  <si>
    <t xml:space="preserve">INSAI-3/4</t>
  </si>
  <si>
    <t xml:space="preserve">T009, T032</t>
  </si>
  <si>
    <t xml:space="preserve">customers/policies/claims module layout matches BRD</t>
  </si>
  <si>
    <t xml:space="preserve">Setup/startup/test steps fully documented</t>
  </si>
  <si>
    <t xml:space="preserve">Authenticatable user accounts</t>
  </si>
  <si>
    <t xml:space="preserve">INSAI-3/5</t>
  </si>
  <si>
    <t xml:space="preserve">T016, T017, T045</t>
  </si>
  <si>
    <t xml:space="preserve">FR-009</t>
  </si>
  <si>
    <t xml:space="preserve">Exactly one of 9 roles per account</t>
  </si>
  <si>
    <t xml:space="preserve">Reject any role outside the 9 defined values</t>
  </si>
  <si>
    <t xml:space="preserve">T016, T036, T039</t>
  </si>
  <si>
    <t xml:space="preserve">FR-011</t>
  </si>
  <si>
    <t xml:space="preserve">Every access decision evaluated server-side</t>
  </si>
  <si>
    <t xml:space="preserve">FR-012</t>
  </si>
  <si>
    <t xml:space="preserve">404 (not 403) non-disclosure on detail routes</t>
  </si>
  <si>
    <t xml:space="preserve">T014, T038</t>
  </si>
  <si>
    <t xml:space="preserve">FR-013</t>
  </si>
  <si>
    <t xml:space="preserve">Refuse unpermitted action, target data unchanged</t>
  </si>
  <si>
    <t xml:space="preserve">T038, T040</t>
  </si>
  <si>
    <t xml:space="preserve">Deny-by-default for null/invalid role</t>
  </si>
  <si>
    <t xml:space="preserve">FR-015</t>
  </si>
  <si>
    <t xml:space="preserve">Single reusable RBAC mechanism</t>
  </si>
  <si>
    <t xml:space="preserve">Role change takes effect immediately, no restart</t>
  </si>
  <si>
    <t xml:space="preserve">FR-017</t>
  </si>
  <si>
    <t xml:space="preserve">Only System Administrator manages users/roles</t>
  </si>
  <si>
    <t xml:space="preserve">FR-018</t>
  </si>
  <si>
    <t xml:space="preserve">Audit record captures actor/action/target/time/outcome/before/after</t>
  </si>
  <si>
    <t xml:space="preserve">Audit records are append-only (ORM + DB layers)</t>
  </si>
  <si>
    <t xml:space="preserve">INSAI-3/6</t>
  </si>
  <si>
    <t xml:space="preserve">T022, T023, T048, T049</t>
  </si>
  <si>
    <t xml:space="preserve">FR-020</t>
  </si>
  <si>
    <t xml:space="preserve">Audit write on user creation and role change</t>
  </si>
  <si>
    <t xml:space="preserve">INSAI-5/6</t>
  </si>
  <si>
    <t xml:space="preserve">T043, T051</t>
  </si>
  <si>
    <t xml:space="preserve">Audit entry survives actor deletion, identifiable</t>
  </si>
  <si>
    <t xml:space="preserve">T052, T053b</t>
  </si>
  <si>
    <t xml:space="preserve">Atomic audit write (same transaction as the action)</t>
  </si>
  <si>
    <t xml:space="preserve">T024, T050</t>
  </si>
  <si>
    <t xml:space="preserve">FR-023</t>
  </si>
  <si>
    <t xml:space="preserve">Generic/reusable audit schema for future modules</t>
  </si>
  <si>
    <t xml:space="preserve">Audit history retrievable in chronological order</t>
  </si>
  <si>
    <t xml:space="preserve">T053, T053a, T056</t>
  </si>
  <si>
    <t xml:space="preserve">Health endpoint reachable without authentication</t>
  </si>
  <si>
    <t xml:space="preserve">FR-026</t>
  </si>
  <si>
    <t xml:space="preserve">Health reports per-dependency status individually</t>
  </si>
  <si>
    <t xml:space="preserve">Health returns within bounded time, machine-detectable</t>
  </si>
  <si>
    <t xml:space="preserve">INSAI-3/7</t>
  </si>
  <si>
    <t xml:space="preserve">T027, T059, T061</t>
  </si>
  <si>
    <t xml:space="preserve">Health discloses no sensitive configuration detail</t>
  </si>
  <si>
    <t xml:space="preserve">FR-029</t>
  </si>
  <si>
    <t xml:space="preserve">Automated test suite runnable via single command</t>
  </si>
  <si>
    <t xml:space="preserve">Single-call test-data builder for any of the 9 roles</t>
  </si>
  <si>
    <t xml:space="preserve">T020, T041</t>
  </si>
  <si>
    <t xml:space="preserve">Test suite produces a coverage measurement</t>
  </si>
  <si>
    <t xml:space="preserve">INSAI-2/8/9</t>
  </si>
  <si>
    <t xml:space="preserve">T002, T067, T072</t>
  </si>
  <si>
    <t xml:space="preserve">Tests run against isolated data, dev data untouched</t>
  </si>
  <si>
    <t xml:space="preserve">T065, T068</t>
  </si>
  <si>
    <t xml:space="preserve">Confirmed (task cites FR)</t>
  </si>
  <si>
    <t xml:space="preserve">Tests prove refusal/permission per role, incl. placeholders</t>
  </si>
  <si>
    <t xml:space="preserve">T038, T047</t>
  </si>
  <si>
    <t xml:space="preserve">FR-034</t>
  </si>
  <si>
    <t xml:space="preserve">Tests prove audit write + immutability on account/role changes</t>
  </si>
  <si>
    <t xml:space="preserve">T048, T049, T051 (inferred from requirement-text overlap - not explicitly FR-034-tagged in any task's own citation; verify against a live tasks.md before relying on this row)</t>
  </si>
  <si>
    <t xml:space="preserve">Inferred - verify</t>
  </si>
</sst>
</file>

<file path=xl/styles.xml><?xml version="1.0" encoding="utf-8"?>
<styleSheet xmlns="http://schemas.openxmlformats.org/spreadsheetml/2006/main">
  <numFmts count="3">
    <numFmt numFmtId="164" formatCode="General"/>
    <numFmt numFmtId="165" formatCode="General"/>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i val="true"/>
      <sz val="10"/>
      <color rgb="FF595959"/>
      <name val="Calibri"/>
      <family val="0"/>
      <charset val="1"/>
    </font>
    <font>
      <b val="true"/>
      <sz val="10"/>
      <name val="Calibri"/>
      <family val="0"/>
      <charset val="1"/>
    </font>
    <font>
      <sz val="10"/>
      <name val="Calibri"/>
      <family val="0"/>
      <charset val="1"/>
    </font>
    <font>
      <b val="true"/>
      <sz val="11"/>
      <color rgb="FFFFFFFF"/>
      <name val="Calibri"/>
      <family val="0"/>
      <charset val="1"/>
    </font>
  </fonts>
  <fills count="6">
    <fill>
      <patternFill patternType="none"/>
    </fill>
    <fill>
      <patternFill patternType="gray125"/>
    </fill>
    <fill>
      <patternFill patternType="solid">
        <fgColor rgb="FF1F3864"/>
        <bgColor rgb="FF333333"/>
      </patternFill>
    </fill>
    <fill>
      <patternFill patternType="solid">
        <fgColor rgb="FFFFE699"/>
        <bgColor rgb="FFF8CBAD"/>
      </patternFill>
    </fill>
    <fill>
      <patternFill patternType="solid">
        <fgColor rgb="FFC6E0B4"/>
        <bgColor rgb="FFBFBFBF"/>
      </patternFill>
    </fill>
    <fill>
      <patternFill patternType="solid">
        <fgColor rgb="FFF8CBAD"/>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SubtasksTable" displayName="SubtasksTable" ref="A2:H76" headerRowCount="1" totalsRowCount="0" totalsRowShown="0">
  <autoFilter ref="A2:H76"/>
  <tableColumns count="8">
    <tableColumn id="1" name="Issue Type"/>
    <tableColumn id="2" name="Key"/>
    <tableColumn id="3" name="Parent"/>
    <tableColumn id="4" name="Summary"/>
    <tableColumn id="5" name="Status"/>
    <tableColumn id="6" name="Test/Impl"/>
    <tableColumn id="7" name="Parallel [P]"/>
    <tableColumn id="8" name="FR Referenc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7" min="3" style="0" width="16"/>
  </cols>
  <sheetData>
    <row r="2" customFormat="false" ht="19.7" hidden="false" customHeight="false" outlineLevel="0" collapsed="false">
      <c r="B2" s="1" t="s">
        <v>0</v>
      </c>
    </row>
    <row r="3" customFormat="false" ht="15" hidden="false" customHeight="false" outlineLevel="0" collapsed="false">
      <c r="B3" s="2" t="s">
        <v>1</v>
      </c>
    </row>
    <row r="5" customFormat="false" ht="60" hidden="false" customHeight="true" outlineLevel="0" collapsed="false">
      <c r="B5" s="3" t="s">
        <v>2</v>
      </c>
      <c r="C5" s="4" t="s">
        <v>3</v>
      </c>
      <c r="D5" s="4"/>
      <c r="E5" s="4"/>
      <c r="F5" s="4"/>
      <c r="G5" s="4"/>
    </row>
    <row r="7" customFormat="false" ht="60" hidden="false" customHeight="true" outlineLevel="0" collapsed="false">
      <c r="B7" s="3" t="s">
        <v>4</v>
      </c>
      <c r="C7" s="4" t="s">
        <v>5</v>
      </c>
      <c r="D7" s="4"/>
      <c r="E7" s="4"/>
      <c r="F7" s="4"/>
      <c r="G7" s="4"/>
    </row>
    <row r="9" customFormat="false" ht="60" hidden="false" customHeight="true" outlineLevel="0" collapsed="false">
      <c r="B9" s="3" t="s">
        <v>6</v>
      </c>
      <c r="C9" s="4" t="s">
        <v>7</v>
      </c>
      <c r="D9" s="4"/>
      <c r="E9" s="4"/>
      <c r="F9" s="4"/>
      <c r="G9" s="4"/>
    </row>
    <row r="11" customFormat="false" ht="60" hidden="false" customHeight="true" outlineLevel="0" collapsed="false">
      <c r="B11" s="3" t="s">
        <v>8</v>
      </c>
      <c r="C11" s="4" t="s">
        <v>9</v>
      </c>
      <c r="D11" s="4"/>
      <c r="E11" s="4"/>
      <c r="F11" s="4"/>
      <c r="G11" s="4"/>
    </row>
    <row r="13" customFormat="false" ht="60" hidden="false" customHeight="true" outlineLevel="0" collapsed="false">
      <c r="B13" s="3" t="s">
        <v>10</v>
      </c>
      <c r="C13" s="4" t="s">
        <v>11</v>
      </c>
      <c r="D13" s="4"/>
      <c r="E13" s="4"/>
      <c r="F13" s="4"/>
      <c r="G13" s="4"/>
    </row>
    <row r="15" customFormat="false" ht="60" hidden="false" customHeight="true" outlineLevel="0" collapsed="false">
      <c r="B15" s="3" t="s">
        <v>10</v>
      </c>
      <c r="C15" s="4" t="s">
        <v>12</v>
      </c>
      <c r="D15" s="4"/>
      <c r="E15" s="4"/>
      <c r="F15" s="4"/>
      <c r="G15" s="4"/>
    </row>
  </sheetData>
  <mergeCells count="6">
    <mergeCell ref="C5:G5"/>
    <mergeCell ref="C7:G7"/>
    <mergeCell ref="C9:G9"/>
    <mergeCell ref="C11:G11"/>
    <mergeCell ref="C13:G13"/>
    <mergeCell ref="C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34"/>
    <col collapsed="false" customWidth="true" hidden="false" outlineLevel="0" max="4" min="4" style="0" width="14"/>
    <col collapsed="false" customWidth="true" hidden="false" outlineLevel="0" max="6" min="5" style="0" width="10"/>
    <col collapsed="false" customWidth="true" hidden="false" outlineLevel="0" max="7" min="7" style="0" width="12"/>
  </cols>
  <sheetData>
    <row r="2" customFormat="false" ht="19.7" hidden="false" customHeight="false" outlineLevel="0" collapsed="false">
      <c r="B2" s="1" t="s">
        <v>13</v>
      </c>
    </row>
    <row r="3" customFormat="false" ht="15" hidden="false" customHeight="false" outlineLevel="0" collapsed="false">
      <c r="B3" s="2" t="s">
        <v>14</v>
      </c>
    </row>
    <row r="5" customFormat="false" ht="15" hidden="false" customHeight="false" outlineLevel="0" collapsed="false">
      <c r="A5" s="5"/>
      <c r="B5" s="5" t="s">
        <v>15</v>
      </c>
      <c r="C5" s="5" t="s">
        <v>16</v>
      </c>
      <c r="D5" s="5" t="s">
        <v>17</v>
      </c>
    </row>
    <row r="6" customFormat="false" ht="35.05" hidden="false" customHeight="false" outlineLevel="0" collapsed="false">
      <c r="B6" s="6" t="s">
        <v>18</v>
      </c>
      <c r="C6" s="7" t="n">
        <f aca="false">COUNTA(Subtasks!B3:B1000)</f>
        <v>74</v>
      </c>
      <c r="D6" s="7" t="s">
        <v>19</v>
      </c>
    </row>
    <row r="7" customFormat="false" ht="35.05" hidden="false" customHeight="false" outlineLevel="0" collapsed="false">
      <c r="B7" s="6" t="s">
        <v>20</v>
      </c>
      <c r="C7" s="7" t="n">
        <f aca="false">COUNTIF(Subtasks!E3:E1000,"Done")</f>
        <v>30</v>
      </c>
      <c r="D7" s="7" t="s">
        <v>21</v>
      </c>
    </row>
    <row r="8" customFormat="false" ht="23.85" hidden="false" customHeight="false" outlineLevel="0" collapsed="false">
      <c r="B8" s="6" t="s">
        <v>22</v>
      </c>
      <c r="C8" s="7" t="n">
        <f aca="false">COUNTIF(Subtasks!E3:E1000,"To Do")</f>
        <v>44</v>
      </c>
      <c r="D8" s="7" t="s">
        <v>23</v>
      </c>
    </row>
    <row r="9" customFormat="false" ht="15" hidden="false" customHeight="false" outlineLevel="0" collapsed="false">
      <c r="B9" s="6" t="s">
        <v>24</v>
      </c>
      <c r="C9" s="8" t="n">
        <f aca="false">C7/C6</f>
        <v>0.405405405405405</v>
      </c>
      <c r="D9" s="7" t="s">
        <v>25</v>
      </c>
    </row>
    <row r="10" customFormat="false" ht="35.05" hidden="false" customHeight="false" outlineLevel="0" collapsed="false">
      <c r="B10" s="6" t="s">
        <v>26</v>
      </c>
      <c r="C10" s="7" t="n">
        <f aca="false">COUNTIF(Subtasks!G3:G1000,"Yes")</f>
        <v>41</v>
      </c>
      <c r="D10" s="7" t="s">
        <v>27</v>
      </c>
    </row>
    <row r="12" customFormat="false" ht="15" hidden="false" customHeight="false" outlineLevel="0" collapsed="false">
      <c r="B12" s="9" t="s">
        <v>28</v>
      </c>
    </row>
    <row r="13" customFormat="false" ht="15" hidden="false" customHeight="false" outlineLevel="0" collapsed="false">
      <c r="A13" s="5"/>
      <c r="B13" s="5" t="s">
        <v>29</v>
      </c>
      <c r="C13" s="5" t="s">
        <v>30</v>
      </c>
      <c r="D13" s="5" t="s">
        <v>31</v>
      </c>
      <c r="E13" s="5" t="s">
        <v>20</v>
      </c>
      <c r="F13" s="5" t="s">
        <v>22</v>
      </c>
      <c r="G13" s="10" t="s">
        <v>24</v>
      </c>
    </row>
    <row r="14" customFormat="false" ht="15" hidden="false" customHeight="false" outlineLevel="0" collapsed="false">
      <c r="B14" s="7" t="s">
        <v>32</v>
      </c>
      <c r="C14" s="7" t="s">
        <v>33</v>
      </c>
      <c r="D14" s="7" t="n">
        <f aca="false">COUNTIF(Subtasks!$C$3:$C$1000,B14)</f>
        <v>6</v>
      </c>
      <c r="E14" s="7" t="n">
        <f aca="false">COUNTIFS(Subtasks!$C$3:$C$1000,B14,Subtasks!$E$3:$E$1000,"Done")</f>
        <v>6</v>
      </c>
      <c r="F14" s="7" t="n">
        <f aca="false">COUNTIFS(Subtasks!$C$3:$C$1000,B14,Subtasks!$E$3:$E$1000,"To Do")</f>
        <v>0</v>
      </c>
      <c r="G14" s="8" t="n">
        <f aca="false">IF(D14=0,0,E14/D14)</f>
        <v>1</v>
      </c>
    </row>
    <row r="15" customFormat="false" ht="23.85" hidden="false" customHeight="false" outlineLevel="0" collapsed="false">
      <c r="B15" s="7" t="s">
        <v>34</v>
      </c>
      <c r="C15" s="7" t="s">
        <v>35</v>
      </c>
      <c r="D15" s="7" t="n">
        <f aca="false">COUNTIF(Subtasks!$C$3:$C$1000,B15)</f>
        <v>24</v>
      </c>
      <c r="E15" s="7" t="n">
        <f aca="false">COUNTIFS(Subtasks!$C$3:$C$1000,B15,Subtasks!$E$3:$E$1000,"Done")</f>
        <v>24</v>
      </c>
      <c r="F15" s="7" t="n">
        <f aca="false">COUNTIFS(Subtasks!$C$3:$C$1000,B15,Subtasks!$E$3:$E$1000,"To Do")</f>
        <v>0</v>
      </c>
      <c r="G15" s="8" t="n">
        <f aca="false">IF(D15=0,0,E15/D15)</f>
        <v>1</v>
      </c>
    </row>
    <row r="16" customFormat="false" ht="15" hidden="false" customHeight="false" outlineLevel="0" collapsed="false">
      <c r="B16" s="7" t="s">
        <v>36</v>
      </c>
      <c r="C16" s="7" t="s">
        <v>37</v>
      </c>
      <c r="D16" s="7" t="n">
        <f aca="false">COUNTIF(Subtasks!$C$3:$C$1000,B16)</f>
        <v>5</v>
      </c>
      <c r="E16" s="7" t="n">
        <f aca="false">COUNTIFS(Subtasks!$C$3:$C$1000,B16,Subtasks!$E$3:$E$1000,"Done")</f>
        <v>0</v>
      </c>
      <c r="F16" s="7" t="n">
        <f aca="false">COUNTIFS(Subtasks!$C$3:$C$1000,B16,Subtasks!$E$3:$E$1000,"To Do")</f>
        <v>5</v>
      </c>
      <c r="G16" s="8" t="n">
        <f aca="false">IF(D16=0,0,E16/D16)</f>
        <v>0</v>
      </c>
    </row>
    <row r="17" customFormat="false" ht="15" hidden="false" customHeight="false" outlineLevel="0" collapsed="false">
      <c r="B17" s="7" t="s">
        <v>38</v>
      </c>
      <c r="C17" s="7" t="s">
        <v>39</v>
      </c>
      <c r="D17" s="7" t="n">
        <f aca="false">COUNTIF(Subtasks!$C$3:$C$1000,B17)</f>
        <v>12</v>
      </c>
      <c r="E17" s="7" t="n">
        <f aca="false">COUNTIFS(Subtasks!$C$3:$C$1000,B17,Subtasks!$E$3:$E$1000,"Done")</f>
        <v>0</v>
      </c>
      <c r="F17" s="7" t="n">
        <f aca="false">COUNTIFS(Subtasks!$C$3:$C$1000,B17,Subtasks!$E$3:$E$1000,"To Do")</f>
        <v>12</v>
      </c>
      <c r="G17" s="8" t="n">
        <f aca="false">IF(D17=0,0,E17/D17)</f>
        <v>0</v>
      </c>
    </row>
    <row r="18" customFormat="false" ht="15" hidden="false" customHeight="false" outlineLevel="0" collapsed="false">
      <c r="B18" s="7" t="s">
        <v>40</v>
      </c>
      <c r="C18" s="7" t="s">
        <v>41</v>
      </c>
      <c r="D18" s="7" t="n">
        <f aca="false">COUNTIF(Subtasks!$C$3:$C$1000,B18)</f>
        <v>12</v>
      </c>
      <c r="E18" s="7" t="n">
        <f aca="false">COUNTIFS(Subtasks!$C$3:$C$1000,B18,Subtasks!$E$3:$E$1000,"Done")</f>
        <v>0</v>
      </c>
      <c r="F18" s="7" t="n">
        <f aca="false">COUNTIFS(Subtasks!$C$3:$C$1000,B18,Subtasks!$E$3:$E$1000,"To Do")</f>
        <v>12</v>
      </c>
      <c r="G18" s="8" t="n">
        <f aca="false">IF(D18=0,0,E18/D18)</f>
        <v>0</v>
      </c>
    </row>
    <row r="19" customFormat="false" ht="15" hidden="false" customHeight="false" outlineLevel="0" collapsed="false">
      <c r="B19" s="7" t="s">
        <v>42</v>
      </c>
      <c r="C19" s="7" t="s">
        <v>43</v>
      </c>
      <c r="D19" s="7" t="n">
        <f aca="false">COUNTIF(Subtasks!$C$3:$C$1000,B19)</f>
        <v>7</v>
      </c>
      <c r="E19" s="7" t="n">
        <f aca="false">COUNTIFS(Subtasks!$C$3:$C$1000,B19,Subtasks!$E$3:$E$1000,"Done")</f>
        <v>0</v>
      </c>
      <c r="F19" s="7" t="n">
        <f aca="false">COUNTIFS(Subtasks!$C$3:$C$1000,B19,Subtasks!$E$3:$E$1000,"To Do")</f>
        <v>7</v>
      </c>
      <c r="G19" s="8" t="n">
        <f aca="false">IF(D19=0,0,E19/D19)</f>
        <v>0</v>
      </c>
    </row>
    <row r="20" customFormat="false" ht="15" hidden="false" customHeight="false" outlineLevel="0" collapsed="false">
      <c r="B20" s="7" t="s">
        <v>44</v>
      </c>
      <c r="C20" s="7" t="s">
        <v>45</v>
      </c>
      <c r="D20" s="7" t="n">
        <f aca="false">COUNTIF(Subtasks!$C$3:$C$1000,B20)</f>
        <v>4</v>
      </c>
      <c r="E20" s="7" t="n">
        <f aca="false">COUNTIFS(Subtasks!$C$3:$C$1000,B20,Subtasks!$E$3:$E$1000,"Done")</f>
        <v>0</v>
      </c>
      <c r="F20" s="7" t="n">
        <f aca="false">COUNTIFS(Subtasks!$C$3:$C$1000,B20,Subtasks!$E$3:$E$1000,"To Do")</f>
        <v>4</v>
      </c>
      <c r="G20" s="8" t="n">
        <f aca="false">IF(D20=0,0,E20/D20)</f>
        <v>0</v>
      </c>
    </row>
    <row r="21" customFormat="false" ht="15" hidden="false" customHeight="false" outlineLevel="0" collapsed="false">
      <c r="B21" s="7" t="s">
        <v>46</v>
      </c>
      <c r="C21" s="7" t="s">
        <v>47</v>
      </c>
      <c r="D21" s="7" t="n">
        <f aca="false">COUNTIF(Subtasks!$C$3:$C$1000,B21)</f>
        <v>4</v>
      </c>
      <c r="E21" s="7" t="n">
        <f aca="false">COUNTIFS(Subtasks!$C$3:$C$1000,B21,Subtasks!$E$3:$E$1000,"Done")</f>
        <v>0</v>
      </c>
      <c r="F21" s="7" t="n">
        <f aca="false">COUNTIFS(Subtasks!$C$3:$C$1000,B21,Subtasks!$E$3:$E$1000,"To Do")</f>
        <v>4</v>
      </c>
      <c r="G21" s="8" t="n">
        <f aca="false">IF(D21=0,0,E21/D21)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42"/>
    <col collapsed="false" customWidth="true" hidden="false" outlineLevel="0" max="4" min="4" style="0" width="60"/>
    <col collapsed="false" customWidth="true" hidden="false" outlineLevel="0" max="5" min="5" style="0" width="12"/>
    <col collapsed="false" customWidth="true" hidden="false" outlineLevel="0" max="6" min="6" style="0" width="13"/>
    <col collapsed="false" customWidth="true" hidden="false" outlineLevel="0" max="7" min="7" style="0" width="10"/>
    <col collapsed="false" customWidth="true" hidden="false" outlineLevel="0" max="8" min="8" style="0" width="30"/>
    <col collapsed="false" customWidth="true" hidden="false" outlineLevel="0" max="9" min="9" style="0" width="14"/>
  </cols>
  <sheetData>
    <row r="1" customFormat="false" ht="15" hidden="false" customHeight="false" outlineLevel="0" collapsed="false">
      <c r="A1" s="5" t="s">
        <v>48</v>
      </c>
      <c r="B1" s="5" t="s">
        <v>49</v>
      </c>
      <c r="C1" s="5" t="s">
        <v>50</v>
      </c>
      <c r="D1" s="5" t="s">
        <v>51</v>
      </c>
      <c r="E1" s="5" t="s">
        <v>52</v>
      </c>
      <c r="F1" s="5" t="s">
        <v>53</v>
      </c>
      <c r="G1" s="5" t="s">
        <v>54</v>
      </c>
      <c r="H1" s="5" t="s">
        <v>55</v>
      </c>
      <c r="I1" s="5" t="s">
        <v>56</v>
      </c>
    </row>
    <row r="2" customFormat="false" ht="120" hidden="false" customHeight="true" outlineLevel="0" collapsed="false">
      <c r="A2" s="7" t="s">
        <v>57</v>
      </c>
      <c r="B2" s="7" t="s">
        <v>58</v>
      </c>
      <c r="C2" s="7" t="s">
        <v>59</v>
      </c>
      <c r="D2" s="7" t="s">
        <v>60</v>
      </c>
      <c r="E2" s="7" t="s">
        <v>61</v>
      </c>
      <c r="F2" s="11" t="s">
        <v>62</v>
      </c>
      <c r="G2" s="7" t="s">
        <v>63</v>
      </c>
      <c r="H2" s="7" t="s">
        <v>64</v>
      </c>
      <c r="I2" s="7"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2"/>
    <col collapsed="false" customWidth="true" hidden="false" outlineLevel="0" max="4" min="4" style="0" width="34"/>
    <col collapsed="false" customWidth="true" hidden="false" outlineLevel="0" max="5" min="5" style="0" width="46"/>
    <col collapsed="false" customWidth="true" hidden="false" outlineLevel="0" max="6" min="6" style="0" width="40"/>
    <col collapsed="false" customWidth="true" hidden="false" outlineLevel="0" max="7" min="7" style="0" width="12"/>
    <col collapsed="false" customWidth="true" hidden="false" outlineLevel="0" max="9" min="8" style="0" width="10"/>
    <col collapsed="false" customWidth="true" hidden="false" outlineLevel="0" max="10" min="10" style="0" width="16"/>
  </cols>
  <sheetData>
    <row r="1" customFormat="false" ht="41.75" hidden="false" customHeight="false" outlineLevel="0" collapsed="false">
      <c r="A1" s="5" t="s">
        <v>48</v>
      </c>
      <c r="B1" s="5" t="s">
        <v>49</v>
      </c>
      <c r="C1" s="5" t="s">
        <v>66</v>
      </c>
      <c r="D1" s="5" t="s">
        <v>50</v>
      </c>
      <c r="E1" s="5" t="s">
        <v>51</v>
      </c>
      <c r="F1" s="5" t="s">
        <v>67</v>
      </c>
      <c r="G1" s="5" t="s">
        <v>52</v>
      </c>
      <c r="H1" s="5" t="s">
        <v>53</v>
      </c>
      <c r="I1" s="5" t="s">
        <v>68</v>
      </c>
      <c r="J1" s="5" t="s">
        <v>69</v>
      </c>
    </row>
    <row r="2" customFormat="false" ht="105" hidden="false" customHeight="true" outlineLevel="0" collapsed="false">
      <c r="A2" s="7" t="s">
        <v>70</v>
      </c>
      <c r="B2" s="7" t="s">
        <v>32</v>
      </c>
      <c r="C2" s="7" t="s">
        <v>58</v>
      </c>
      <c r="D2" s="7" t="s">
        <v>71</v>
      </c>
      <c r="E2" s="7" t="s">
        <v>72</v>
      </c>
      <c r="F2" s="7" t="s">
        <v>73</v>
      </c>
      <c r="G2" s="7" t="s">
        <v>74</v>
      </c>
      <c r="H2" s="12" t="s">
        <v>20</v>
      </c>
      <c r="I2" s="7" t="n">
        <v>3</v>
      </c>
      <c r="J2" s="7" t="s">
        <v>75</v>
      </c>
    </row>
    <row r="3" customFormat="false" ht="105" hidden="false" customHeight="true" outlineLevel="0" collapsed="false">
      <c r="A3" s="7" t="s">
        <v>70</v>
      </c>
      <c r="B3" s="7" t="s">
        <v>34</v>
      </c>
      <c r="C3" s="7" t="s">
        <v>58</v>
      </c>
      <c r="D3" s="7" t="s">
        <v>76</v>
      </c>
      <c r="E3" s="7" t="s">
        <v>77</v>
      </c>
      <c r="F3" s="7" t="s">
        <v>78</v>
      </c>
      <c r="G3" s="7" t="s">
        <v>61</v>
      </c>
      <c r="H3" s="12" t="s">
        <v>20</v>
      </c>
      <c r="I3" s="7" t="n">
        <v>13</v>
      </c>
      <c r="J3" s="7" t="s">
        <v>79</v>
      </c>
    </row>
    <row r="4" customFormat="false" ht="105" hidden="false" customHeight="true" outlineLevel="0" collapsed="false">
      <c r="A4" s="7" t="s">
        <v>80</v>
      </c>
      <c r="B4" s="7" t="s">
        <v>36</v>
      </c>
      <c r="C4" s="7" t="s">
        <v>58</v>
      </c>
      <c r="D4" s="7" t="s">
        <v>81</v>
      </c>
      <c r="E4" s="7" t="s">
        <v>82</v>
      </c>
      <c r="F4" s="7" t="s">
        <v>83</v>
      </c>
      <c r="G4" s="7" t="s">
        <v>61</v>
      </c>
      <c r="H4" s="11" t="s">
        <v>22</v>
      </c>
      <c r="I4" s="7" t="n">
        <v>3</v>
      </c>
      <c r="J4" s="7" t="s">
        <v>84</v>
      </c>
    </row>
    <row r="5" customFormat="false" ht="105" hidden="false" customHeight="true" outlineLevel="0" collapsed="false">
      <c r="A5" s="7" t="s">
        <v>80</v>
      </c>
      <c r="B5" s="7" t="s">
        <v>38</v>
      </c>
      <c r="C5" s="7" t="s">
        <v>58</v>
      </c>
      <c r="D5" s="7" t="s">
        <v>85</v>
      </c>
      <c r="E5" s="7" t="s">
        <v>86</v>
      </c>
      <c r="F5" s="7" t="s">
        <v>87</v>
      </c>
      <c r="G5" s="7" t="s">
        <v>61</v>
      </c>
      <c r="H5" s="11" t="s">
        <v>22</v>
      </c>
      <c r="I5" s="7" t="n">
        <v>8</v>
      </c>
      <c r="J5" s="7" t="s">
        <v>88</v>
      </c>
    </row>
    <row r="6" customFormat="false" ht="105" hidden="false" customHeight="true" outlineLevel="0" collapsed="false">
      <c r="A6" s="7" t="s">
        <v>80</v>
      </c>
      <c r="B6" s="7" t="s">
        <v>40</v>
      </c>
      <c r="C6" s="7" t="s">
        <v>58</v>
      </c>
      <c r="D6" s="7" t="s">
        <v>89</v>
      </c>
      <c r="E6" s="7" t="s">
        <v>90</v>
      </c>
      <c r="F6" s="7" t="s">
        <v>91</v>
      </c>
      <c r="G6" s="7" t="s">
        <v>92</v>
      </c>
      <c r="H6" s="11" t="s">
        <v>22</v>
      </c>
      <c r="I6" s="7" t="n">
        <v>8</v>
      </c>
      <c r="J6" s="7" t="s">
        <v>93</v>
      </c>
    </row>
    <row r="7" customFormat="false" ht="105" hidden="false" customHeight="true" outlineLevel="0" collapsed="false">
      <c r="A7" s="7" t="s">
        <v>80</v>
      </c>
      <c r="B7" s="7" t="s">
        <v>42</v>
      </c>
      <c r="C7" s="7" t="s">
        <v>58</v>
      </c>
      <c r="D7" s="7" t="s">
        <v>94</v>
      </c>
      <c r="E7" s="7" t="s">
        <v>95</v>
      </c>
      <c r="F7" s="7" t="s">
        <v>96</v>
      </c>
      <c r="G7" s="7" t="s">
        <v>92</v>
      </c>
      <c r="H7" s="11" t="s">
        <v>22</v>
      </c>
      <c r="I7" s="7" t="n">
        <v>5</v>
      </c>
      <c r="J7" s="7" t="s">
        <v>97</v>
      </c>
    </row>
    <row r="8" customFormat="false" ht="105" hidden="false" customHeight="true" outlineLevel="0" collapsed="false">
      <c r="A8" s="7" t="s">
        <v>80</v>
      </c>
      <c r="B8" s="7" t="s">
        <v>44</v>
      </c>
      <c r="C8" s="7" t="s">
        <v>58</v>
      </c>
      <c r="D8" s="7" t="s">
        <v>98</v>
      </c>
      <c r="E8" s="7" t="s">
        <v>99</v>
      </c>
      <c r="F8" s="7" t="s">
        <v>100</v>
      </c>
      <c r="G8" s="7" t="s">
        <v>92</v>
      </c>
      <c r="H8" s="11" t="s">
        <v>22</v>
      </c>
      <c r="I8" s="7" t="n">
        <v>3</v>
      </c>
      <c r="J8" s="7" t="s">
        <v>101</v>
      </c>
    </row>
    <row r="9" customFormat="false" ht="105" hidden="false" customHeight="true" outlineLevel="0" collapsed="false">
      <c r="A9" s="7" t="s">
        <v>70</v>
      </c>
      <c r="B9" s="7" t="s">
        <v>46</v>
      </c>
      <c r="C9" s="7" t="s">
        <v>58</v>
      </c>
      <c r="D9" s="7" t="s">
        <v>47</v>
      </c>
      <c r="E9" s="7" t="s">
        <v>102</v>
      </c>
      <c r="F9" s="7" t="s">
        <v>103</v>
      </c>
      <c r="G9" s="7" t="s">
        <v>104</v>
      </c>
      <c r="H9" s="11" t="s">
        <v>22</v>
      </c>
      <c r="I9" s="7" t="n">
        <v>3</v>
      </c>
      <c r="J9" s="7" t="s">
        <v>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0"/>
    <col collapsed="false" customWidth="true" hidden="false" outlineLevel="0" max="4" min="4" style="0" width="70"/>
    <col collapsed="false" customWidth="true" hidden="false" outlineLevel="0" max="5" min="5" style="0" width="10"/>
    <col collapsed="false" customWidth="true" hidden="false" outlineLevel="0" max="6" min="6" style="0" width="15"/>
    <col collapsed="false" customWidth="true" hidden="false" outlineLevel="0" max="7" min="7" style="0" width="12"/>
    <col collapsed="false" customWidth="true" hidden="false" outlineLevel="0" max="8" min="8" style="0" width="22"/>
  </cols>
  <sheetData>
    <row r="2" customFormat="false" ht="28.35" hidden="false" customHeight="false" outlineLevel="0" collapsed="false">
      <c r="A2" s="5" t="s">
        <v>48</v>
      </c>
      <c r="B2" s="5" t="s">
        <v>49</v>
      </c>
      <c r="C2" s="5" t="s">
        <v>106</v>
      </c>
      <c r="D2" s="5" t="s">
        <v>50</v>
      </c>
      <c r="E2" s="5" t="s">
        <v>53</v>
      </c>
      <c r="F2" s="5" t="s">
        <v>107</v>
      </c>
      <c r="G2" s="5" t="s">
        <v>108</v>
      </c>
      <c r="H2" s="5" t="s">
        <v>109</v>
      </c>
    </row>
    <row r="3" customFormat="false" ht="23.85" hidden="false" customHeight="false" outlineLevel="0" collapsed="false">
      <c r="A3" s="7" t="s">
        <v>110</v>
      </c>
      <c r="B3" s="7" t="s">
        <v>111</v>
      </c>
      <c r="C3" s="7" t="s">
        <v>32</v>
      </c>
      <c r="D3" s="7" t="s">
        <v>112</v>
      </c>
      <c r="E3" s="12" t="s">
        <v>20</v>
      </c>
      <c r="F3" s="7" t="s">
        <v>113</v>
      </c>
      <c r="G3" s="7" t="s">
        <v>114</v>
      </c>
      <c r="H3" s="7"/>
    </row>
    <row r="4" customFormat="false" ht="23.85" hidden="false" customHeight="false" outlineLevel="0" collapsed="false">
      <c r="A4" s="7" t="s">
        <v>110</v>
      </c>
      <c r="B4" s="7" t="s">
        <v>115</v>
      </c>
      <c r="C4" s="7" t="s">
        <v>32</v>
      </c>
      <c r="D4" s="7" t="s">
        <v>116</v>
      </c>
      <c r="E4" s="12" t="s">
        <v>20</v>
      </c>
      <c r="F4" s="7" t="s">
        <v>113</v>
      </c>
      <c r="G4" s="7" t="s">
        <v>114</v>
      </c>
      <c r="H4" s="7" t="s">
        <v>117</v>
      </c>
    </row>
    <row r="5" customFormat="false" ht="23.85" hidden="false" customHeight="false" outlineLevel="0" collapsed="false">
      <c r="A5" s="7" t="s">
        <v>110</v>
      </c>
      <c r="B5" s="7" t="s">
        <v>118</v>
      </c>
      <c r="C5" s="7" t="s">
        <v>32</v>
      </c>
      <c r="D5" s="7" t="s">
        <v>119</v>
      </c>
      <c r="E5" s="12" t="s">
        <v>20</v>
      </c>
      <c r="F5" s="7" t="s">
        <v>113</v>
      </c>
      <c r="G5" s="7" t="s">
        <v>120</v>
      </c>
      <c r="H5" s="7"/>
    </row>
    <row r="6" customFormat="false" ht="15" hidden="false" customHeight="false" outlineLevel="0" collapsed="false">
      <c r="A6" s="7" t="s">
        <v>110</v>
      </c>
      <c r="B6" s="7" t="s">
        <v>121</v>
      </c>
      <c r="C6" s="7" t="s">
        <v>32</v>
      </c>
      <c r="D6" s="7" t="s">
        <v>122</v>
      </c>
      <c r="E6" s="12" t="s">
        <v>20</v>
      </c>
      <c r="F6" s="7" t="s">
        <v>113</v>
      </c>
      <c r="G6" s="7" t="s">
        <v>120</v>
      </c>
      <c r="H6" s="7"/>
    </row>
    <row r="7" customFormat="false" ht="23.85" hidden="false" customHeight="false" outlineLevel="0" collapsed="false">
      <c r="A7" s="7" t="s">
        <v>110</v>
      </c>
      <c r="B7" s="7" t="s">
        <v>123</v>
      </c>
      <c r="C7" s="7" t="s">
        <v>32</v>
      </c>
      <c r="D7" s="7" t="s">
        <v>124</v>
      </c>
      <c r="E7" s="12" t="s">
        <v>20</v>
      </c>
      <c r="F7" s="7" t="s">
        <v>113</v>
      </c>
      <c r="G7" s="7" t="s">
        <v>120</v>
      </c>
      <c r="H7" s="7" t="s">
        <v>125</v>
      </c>
    </row>
    <row r="8" customFormat="false" ht="15" hidden="false" customHeight="false" outlineLevel="0" collapsed="false">
      <c r="A8" s="7" t="s">
        <v>110</v>
      </c>
      <c r="B8" s="7" t="s">
        <v>126</v>
      </c>
      <c r="C8" s="7" t="s">
        <v>32</v>
      </c>
      <c r="D8" s="7" t="s">
        <v>127</v>
      </c>
      <c r="E8" s="12" t="s">
        <v>20</v>
      </c>
      <c r="F8" s="7" t="s">
        <v>113</v>
      </c>
      <c r="G8" s="7" t="s">
        <v>120</v>
      </c>
      <c r="H8" s="7"/>
    </row>
    <row r="9" customFormat="false" ht="15" hidden="false" customHeight="false" outlineLevel="0" collapsed="false">
      <c r="A9" s="7" t="s">
        <v>110</v>
      </c>
      <c r="B9" s="7" t="s">
        <v>128</v>
      </c>
      <c r="C9" s="7" t="s">
        <v>34</v>
      </c>
      <c r="D9" s="7" t="s">
        <v>129</v>
      </c>
      <c r="E9" s="12" t="s">
        <v>20</v>
      </c>
      <c r="F9" s="7" t="s">
        <v>113</v>
      </c>
      <c r="G9" s="7" t="s">
        <v>114</v>
      </c>
      <c r="H9" s="7"/>
    </row>
    <row r="10" customFormat="false" ht="15" hidden="false" customHeight="false" outlineLevel="0" collapsed="false">
      <c r="A10" s="7" t="s">
        <v>110</v>
      </c>
      <c r="B10" s="7" t="s">
        <v>130</v>
      </c>
      <c r="C10" s="7" t="s">
        <v>34</v>
      </c>
      <c r="D10" s="7" t="s">
        <v>131</v>
      </c>
      <c r="E10" s="12" t="s">
        <v>20</v>
      </c>
      <c r="F10" s="7" t="s">
        <v>113</v>
      </c>
      <c r="G10" s="7" t="s">
        <v>114</v>
      </c>
      <c r="H10" s="7"/>
    </row>
    <row r="11" customFormat="false" ht="23.85" hidden="false" customHeight="false" outlineLevel="0" collapsed="false">
      <c r="A11" s="7" t="s">
        <v>110</v>
      </c>
      <c r="B11" s="7" t="s">
        <v>132</v>
      </c>
      <c r="C11" s="7" t="s">
        <v>34</v>
      </c>
      <c r="D11" s="7" t="s">
        <v>133</v>
      </c>
      <c r="E11" s="12" t="s">
        <v>20</v>
      </c>
      <c r="F11" s="7" t="s">
        <v>113</v>
      </c>
      <c r="G11" s="7" t="s">
        <v>114</v>
      </c>
      <c r="H11" s="7" t="s">
        <v>134</v>
      </c>
    </row>
    <row r="12" customFormat="false" ht="15" hidden="false" customHeight="false" outlineLevel="0" collapsed="false">
      <c r="A12" s="7" t="s">
        <v>110</v>
      </c>
      <c r="B12" s="7" t="s">
        <v>135</v>
      </c>
      <c r="C12" s="7" t="s">
        <v>34</v>
      </c>
      <c r="D12" s="7" t="s">
        <v>136</v>
      </c>
      <c r="E12" s="12" t="s">
        <v>20</v>
      </c>
      <c r="F12" s="7" t="s">
        <v>113</v>
      </c>
      <c r="G12" s="7" t="s">
        <v>120</v>
      </c>
      <c r="H12" s="7"/>
    </row>
    <row r="13" customFormat="false" ht="15" hidden="false" customHeight="false" outlineLevel="0" collapsed="false">
      <c r="A13" s="7" t="s">
        <v>110</v>
      </c>
      <c r="B13" s="7" t="s">
        <v>137</v>
      </c>
      <c r="C13" s="7" t="s">
        <v>34</v>
      </c>
      <c r="D13" s="7" t="s">
        <v>138</v>
      </c>
      <c r="E13" s="12" t="s">
        <v>20</v>
      </c>
      <c r="F13" s="7" t="s">
        <v>113</v>
      </c>
      <c r="G13" s="7" t="s">
        <v>120</v>
      </c>
      <c r="H13" s="7"/>
    </row>
    <row r="14" customFormat="false" ht="15" hidden="false" customHeight="false" outlineLevel="0" collapsed="false">
      <c r="A14" s="7" t="s">
        <v>110</v>
      </c>
      <c r="B14" s="7" t="s">
        <v>139</v>
      </c>
      <c r="C14" s="7" t="s">
        <v>34</v>
      </c>
      <c r="D14" s="7" t="s">
        <v>140</v>
      </c>
      <c r="E14" s="12" t="s">
        <v>20</v>
      </c>
      <c r="F14" s="7" t="s">
        <v>113</v>
      </c>
      <c r="G14" s="7" t="s">
        <v>114</v>
      </c>
      <c r="H14" s="7"/>
    </row>
    <row r="15" customFormat="false" ht="15" hidden="false" customHeight="false" outlineLevel="0" collapsed="false">
      <c r="A15" s="7" t="s">
        <v>110</v>
      </c>
      <c r="B15" s="7" t="s">
        <v>141</v>
      </c>
      <c r="C15" s="7" t="s">
        <v>34</v>
      </c>
      <c r="D15" s="7" t="s">
        <v>142</v>
      </c>
      <c r="E15" s="12" t="s">
        <v>20</v>
      </c>
      <c r="F15" s="7" t="s">
        <v>113</v>
      </c>
      <c r="G15" s="7" t="s">
        <v>114</v>
      </c>
      <c r="H15" s="7"/>
    </row>
    <row r="16" customFormat="false" ht="23.85" hidden="false" customHeight="false" outlineLevel="0" collapsed="false">
      <c r="A16" s="7" t="s">
        <v>110</v>
      </c>
      <c r="B16" s="7" t="s">
        <v>143</v>
      </c>
      <c r="C16" s="7" t="s">
        <v>34</v>
      </c>
      <c r="D16" s="7" t="s">
        <v>144</v>
      </c>
      <c r="E16" s="12" t="s">
        <v>20</v>
      </c>
      <c r="F16" s="7" t="s">
        <v>113</v>
      </c>
      <c r="G16" s="7" t="s">
        <v>114</v>
      </c>
      <c r="H16" s="7" t="s">
        <v>145</v>
      </c>
    </row>
    <row r="17" customFormat="false" ht="15" hidden="false" customHeight="false" outlineLevel="0" collapsed="false">
      <c r="A17" s="7" t="s">
        <v>110</v>
      </c>
      <c r="B17" s="7" t="s">
        <v>146</v>
      </c>
      <c r="C17" s="7" t="s">
        <v>34</v>
      </c>
      <c r="D17" s="7" t="s">
        <v>147</v>
      </c>
      <c r="E17" s="12" t="s">
        <v>20</v>
      </c>
      <c r="F17" s="7" t="s">
        <v>113</v>
      </c>
      <c r="G17" s="7" t="s">
        <v>120</v>
      </c>
      <c r="H17" s="7"/>
    </row>
    <row r="18" customFormat="false" ht="23.85" hidden="false" customHeight="false" outlineLevel="0" collapsed="false">
      <c r="A18" s="7" t="s">
        <v>110</v>
      </c>
      <c r="B18" s="7" t="s">
        <v>148</v>
      </c>
      <c r="C18" s="7" t="s">
        <v>34</v>
      </c>
      <c r="D18" s="7" t="s">
        <v>149</v>
      </c>
      <c r="E18" s="12" t="s">
        <v>20</v>
      </c>
      <c r="F18" s="7" t="s">
        <v>113</v>
      </c>
      <c r="G18" s="7" t="s">
        <v>114</v>
      </c>
      <c r="H18" s="7" t="s">
        <v>150</v>
      </c>
    </row>
    <row r="19" customFormat="false" ht="23.85" hidden="false" customHeight="false" outlineLevel="0" collapsed="false">
      <c r="A19" s="7" t="s">
        <v>110</v>
      </c>
      <c r="B19" s="7" t="s">
        <v>151</v>
      </c>
      <c r="C19" s="7" t="s">
        <v>34</v>
      </c>
      <c r="D19" s="7" t="s">
        <v>152</v>
      </c>
      <c r="E19" s="12" t="s">
        <v>20</v>
      </c>
      <c r="F19" s="7" t="s">
        <v>113</v>
      </c>
      <c r="G19" s="7" t="s">
        <v>114</v>
      </c>
      <c r="H19" s="7" t="s">
        <v>153</v>
      </c>
    </row>
    <row r="20" customFormat="false" ht="23.85" hidden="false" customHeight="false" outlineLevel="0" collapsed="false">
      <c r="A20" s="7" t="s">
        <v>110</v>
      </c>
      <c r="B20" s="7" t="s">
        <v>154</v>
      </c>
      <c r="C20" s="7" t="s">
        <v>34</v>
      </c>
      <c r="D20" s="7" t="s">
        <v>155</v>
      </c>
      <c r="E20" s="12" t="s">
        <v>20</v>
      </c>
      <c r="F20" s="7" t="s">
        <v>113</v>
      </c>
      <c r="G20" s="7" t="s">
        <v>114</v>
      </c>
      <c r="H20" s="7"/>
    </row>
    <row r="21" customFormat="false" ht="15" hidden="false" customHeight="false" outlineLevel="0" collapsed="false">
      <c r="A21" s="7" t="s">
        <v>110</v>
      </c>
      <c r="B21" s="7" t="s">
        <v>156</v>
      </c>
      <c r="C21" s="7" t="s">
        <v>34</v>
      </c>
      <c r="D21" s="7" t="s">
        <v>157</v>
      </c>
      <c r="E21" s="12" t="s">
        <v>20</v>
      </c>
      <c r="F21" s="7" t="s">
        <v>113</v>
      </c>
      <c r="G21" s="7" t="s">
        <v>120</v>
      </c>
      <c r="H21" s="7"/>
    </row>
    <row r="22" customFormat="false" ht="15" hidden="false" customHeight="false" outlineLevel="0" collapsed="false">
      <c r="A22" s="7" t="s">
        <v>110</v>
      </c>
      <c r="B22" s="7" t="s">
        <v>158</v>
      </c>
      <c r="C22" s="7" t="s">
        <v>34</v>
      </c>
      <c r="D22" s="7" t="s">
        <v>159</v>
      </c>
      <c r="E22" s="12" t="s">
        <v>20</v>
      </c>
      <c r="F22" s="7" t="s">
        <v>113</v>
      </c>
      <c r="G22" s="7" t="s">
        <v>120</v>
      </c>
      <c r="H22" s="7" t="s">
        <v>160</v>
      </c>
    </row>
    <row r="23" customFormat="false" ht="15" hidden="false" customHeight="false" outlineLevel="0" collapsed="false">
      <c r="A23" s="7" t="s">
        <v>110</v>
      </c>
      <c r="B23" s="7" t="s">
        <v>161</v>
      </c>
      <c r="C23" s="7" t="s">
        <v>34</v>
      </c>
      <c r="D23" s="7" t="s">
        <v>162</v>
      </c>
      <c r="E23" s="12" t="s">
        <v>20</v>
      </c>
      <c r="F23" s="7" t="s">
        <v>113</v>
      </c>
      <c r="G23" s="7" t="s">
        <v>120</v>
      </c>
      <c r="H23" s="7"/>
    </row>
    <row r="24" customFormat="false" ht="23.85" hidden="false" customHeight="false" outlineLevel="0" collapsed="false">
      <c r="A24" s="7" t="s">
        <v>110</v>
      </c>
      <c r="B24" s="7" t="s">
        <v>163</v>
      </c>
      <c r="C24" s="7" t="s">
        <v>34</v>
      </c>
      <c r="D24" s="7" t="s">
        <v>164</v>
      </c>
      <c r="E24" s="12" t="s">
        <v>20</v>
      </c>
      <c r="F24" s="7" t="s">
        <v>113</v>
      </c>
      <c r="G24" s="7" t="s">
        <v>114</v>
      </c>
      <c r="H24" s="7" t="s">
        <v>165</v>
      </c>
    </row>
    <row r="25" customFormat="false" ht="23.85" hidden="false" customHeight="false" outlineLevel="0" collapsed="false">
      <c r="A25" s="7" t="s">
        <v>110</v>
      </c>
      <c r="B25" s="7" t="s">
        <v>166</v>
      </c>
      <c r="C25" s="7" t="s">
        <v>34</v>
      </c>
      <c r="D25" s="7" t="s">
        <v>167</v>
      </c>
      <c r="E25" s="12" t="s">
        <v>20</v>
      </c>
      <c r="F25" s="7" t="s">
        <v>113</v>
      </c>
      <c r="G25" s="7" t="s">
        <v>114</v>
      </c>
      <c r="H25" s="7" t="s">
        <v>168</v>
      </c>
    </row>
    <row r="26" customFormat="false" ht="23.85" hidden="false" customHeight="false" outlineLevel="0" collapsed="false">
      <c r="A26" s="7" t="s">
        <v>110</v>
      </c>
      <c r="B26" s="7" t="s">
        <v>169</v>
      </c>
      <c r="C26" s="7" t="s">
        <v>34</v>
      </c>
      <c r="D26" s="7" t="s">
        <v>170</v>
      </c>
      <c r="E26" s="12" t="s">
        <v>20</v>
      </c>
      <c r="F26" s="7" t="s">
        <v>113</v>
      </c>
      <c r="G26" s="7" t="s">
        <v>120</v>
      </c>
      <c r="H26" s="7" t="s">
        <v>171</v>
      </c>
    </row>
    <row r="27" customFormat="false" ht="15" hidden="false" customHeight="false" outlineLevel="0" collapsed="false">
      <c r="A27" s="7" t="s">
        <v>110</v>
      </c>
      <c r="B27" s="7" t="s">
        <v>172</v>
      </c>
      <c r="C27" s="7" t="s">
        <v>34</v>
      </c>
      <c r="D27" s="7" t="s">
        <v>173</v>
      </c>
      <c r="E27" s="12" t="s">
        <v>20</v>
      </c>
      <c r="F27" s="7" t="s">
        <v>113</v>
      </c>
      <c r="G27" s="7" t="s">
        <v>120</v>
      </c>
      <c r="H27" s="7"/>
    </row>
    <row r="28" customFormat="false" ht="15" hidden="false" customHeight="false" outlineLevel="0" collapsed="false">
      <c r="A28" s="7" t="s">
        <v>110</v>
      </c>
      <c r="B28" s="7" t="s">
        <v>174</v>
      </c>
      <c r="C28" s="7" t="s">
        <v>34</v>
      </c>
      <c r="D28" s="7" t="s">
        <v>175</v>
      </c>
      <c r="E28" s="12" t="s">
        <v>20</v>
      </c>
      <c r="F28" s="7" t="s">
        <v>113</v>
      </c>
      <c r="G28" s="7" t="s">
        <v>120</v>
      </c>
      <c r="H28" s="7"/>
    </row>
    <row r="29" customFormat="false" ht="23.85" hidden="false" customHeight="false" outlineLevel="0" collapsed="false">
      <c r="A29" s="7" t="s">
        <v>110</v>
      </c>
      <c r="B29" s="7" t="s">
        <v>176</v>
      </c>
      <c r="C29" s="7" t="s">
        <v>34</v>
      </c>
      <c r="D29" s="7" t="s">
        <v>177</v>
      </c>
      <c r="E29" s="12" t="s">
        <v>20</v>
      </c>
      <c r="F29" s="7" t="s">
        <v>113</v>
      </c>
      <c r="G29" s="7" t="s">
        <v>114</v>
      </c>
      <c r="H29" s="7" t="s">
        <v>178</v>
      </c>
    </row>
    <row r="30" customFormat="false" ht="15" hidden="false" customHeight="false" outlineLevel="0" collapsed="false">
      <c r="A30" s="7" t="s">
        <v>110</v>
      </c>
      <c r="B30" s="7" t="s">
        <v>179</v>
      </c>
      <c r="C30" s="7" t="s">
        <v>34</v>
      </c>
      <c r="D30" s="7" t="s">
        <v>180</v>
      </c>
      <c r="E30" s="12" t="s">
        <v>20</v>
      </c>
      <c r="F30" s="7" t="s">
        <v>113</v>
      </c>
      <c r="G30" s="7" t="s">
        <v>120</v>
      </c>
      <c r="H30" s="7"/>
    </row>
    <row r="31" customFormat="false" ht="23.85" hidden="false" customHeight="false" outlineLevel="0" collapsed="false">
      <c r="A31" s="7" t="s">
        <v>110</v>
      </c>
      <c r="B31" s="7" t="s">
        <v>181</v>
      </c>
      <c r="C31" s="7" t="s">
        <v>34</v>
      </c>
      <c r="D31" s="7" t="s">
        <v>182</v>
      </c>
      <c r="E31" s="12" t="s">
        <v>20</v>
      </c>
      <c r="F31" s="7" t="s">
        <v>113</v>
      </c>
      <c r="G31" s="7" t="s">
        <v>114</v>
      </c>
      <c r="H31" s="7"/>
    </row>
    <row r="32" customFormat="false" ht="23.85" hidden="false" customHeight="false" outlineLevel="0" collapsed="false">
      <c r="A32" s="7" t="s">
        <v>110</v>
      </c>
      <c r="B32" s="7" t="s">
        <v>183</v>
      </c>
      <c r="C32" s="7" t="s">
        <v>34</v>
      </c>
      <c r="D32" s="7" t="s">
        <v>184</v>
      </c>
      <c r="E32" s="12" t="s">
        <v>20</v>
      </c>
      <c r="F32" s="7" t="s">
        <v>113</v>
      </c>
      <c r="G32" s="7" t="s">
        <v>114</v>
      </c>
      <c r="H32" s="7" t="s">
        <v>185</v>
      </c>
    </row>
    <row r="33" customFormat="false" ht="15" hidden="false" customHeight="false" outlineLevel="0" collapsed="false">
      <c r="A33" s="7" t="s">
        <v>110</v>
      </c>
      <c r="B33" s="7" t="s">
        <v>186</v>
      </c>
      <c r="C33" s="7" t="s">
        <v>36</v>
      </c>
      <c r="D33" s="7" t="s">
        <v>187</v>
      </c>
      <c r="E33" s="11" t="s">
        <v>22</v>
      </c>
      <c r="F33" s="7" t="s">
        <v>188</v>
      </c>
      <c r="G33" s="7" t="s">
        <v>120</v>
      </c>
      <c r="H33" s="7"/>
    </row>
    <row r="34" customFormat="false" ht="15" hidden="false" customHeight="false" outlineLevel="0" collapsed="false">
      <c r="A34" s="7" t="s">
        <v>110</v>
      </c>
      <c r="B34" s="7" t="s">
        <v>189</v>
      </c>
      <c r="C34" s="7" t="s">
        <v>36</v>
      </c>
      <c r="D34" s="7" t="s">
        <v>190</v>
      </c>
      <c r="E34" s="11" t="s">
        <v>22</v>
      </c>
      <c r="F34" s="7" t="s">
        <v>188</v>
      </c>
      <c r="G34" s="7" t="s">
        <v>120</v>
      </c>
      <c r="H34" s="7" t="s">
        <v>191</v>
      </c>
    </row>
    <row r="35" customFormat="false" ht="23.85" hidden="false" customHeight="false" outlineLevel="0" collapsed="false">
      <c r="A35" s="7" t="s">
        <v>110</v>
      </c>
      <c r="B35" s="7" t="s">
        <v>192</v>
      </c>
      <c r="C35" s="7" t="s">
        <v>36</v>
      </c>
      <c r="D35" s="7" t="s">
        <v>193</v>
      </c>
      <c r="E35" s="11" t="s">
        <v>22</v>
      </c>
      <c r="F35" s="7" t="s">
        <v>113</v>
      </c>
      <c r="G35" s="7" t="s">
        <v>114</v>
      </c>
      <c r="H35" s="7" t="s">
        <v>194</v>
      </c>
    </row>
    <row r="36" customFormat="false" ht="15" hidden="false" customHeight="false" outlineLevel="0" collapsed="false">
      <c r="A36" s="7" t="s">
        <v>110</v>
      </c>
      <c r="B36" s="7" t="s">
        <v>195</v>
      </c>
      <c r="C36" s="7" t="s">
        <v>36</v>
      </c>
      <c r="D36" s="7" t="s">
        <v>196</v>
      </c>
      <c r="E36" s="11" t="s">
        <v>22</v>
      </c>
      <c r="F36" s="7" t="s">
        <v>113</v>
      </c>
      <c r="G36" s="7" t="s">
        <v>114</v>
      </c>
      <c r="H36" s="7"/>
    </row>
    <row r="37" customFormat="false" ht="15" hidden="false" customHeight="false" outlineLevel="0" collapsed="false">
      <c r="A37" s="7" t="s">
        <v>110</v>
      </c>
      <c r="B37" s="7" t="s">
        <v>197</v>
      </c>
      <c r="C37" s="7" t="s">
        <v>36</v>
      </c>
      <c r="D37" s="7" t="s">
        <v>198</v>
      </c>
      <c r="E37" s="11" t="s">
        <v>22</v>
      </c>
      <c r="F37" s="7" t="s">
        <v>113</v>
      </c>
      <c r="G37" s="7" t="s">
        <v>114</v>
      </c>
      <c r="H37" s="7" t="s">
        <v>199</v>
      </c>
    </row>
    <row r="38" customFormat="false" ht="15" hidden="false" customHeight="false" outlineLevel="0" collapsed="false">
      <c r="A38" s="7" t="s">
        <v>110</v>
      </c>
      <c r="B38" s="7" t="s">
        <v>200</v>
      </c>
      <c r="C38" s="7" t="s">
        <v>38</v>
      </c>
      <c r="D38" s="7" t="s">
        <v>201</v>
      </c>
      <c r="E38" s="11" t="s">
        <v>22</v>
      </c>
      <c r="F38" s="7" t="s">
        <v>188</v>
      </c>
      <c r="G38" s="7" t="s">
        <v>120</v>
      </c>
      <c r="H38" s="7" t="s">
        <v>202</v>
      </c>
    </row>
    <row r="39" customFormat="false" ht="23.85" hidden="false" customHeight="false" outlineLevel="0" collapsed="false">
      <c r="A39" s="7" t="s">
        <v>110</v>
      </c>
      <c r="B39" s="7" t="s">
        <v>203</v>
      </c>
      <c r="C39" s="7" t="s">
        <v>38</v>
      </c>
      <c r="D39" s="7" t="s">
        <v>204</v>
      </c>
      <c r="E39" s="11" t="s">
        <v>22</v>
      </c>
      <c r="F39" s="7" t="s">
        <v>188</v>
      </c>
      <c r="G39" s="7" t="s">
        <v>120</v>
      </c>
      <c r="H39" s="7" t="s">
        <v>205</v>
      </c>
    </row>
    <row r="40" customFormat="false" ht="15" hidden="false" customHeight="false" outlineLevel="0" collapsed="false">
      <c r="A40" s="7" t="s">
        <v>110</v>
      </c>
      <c r="B40" s="7" t="s">
        <v>206</v>
      </c>
      <c r="C40" s="7" t="s">
        <v>38</v>
      </c>
      <c r="D40" s="7" t="s">
        <v>207</v>
      </c>
      <c r="E40" s="11" t="s">
        <v>22</v>
      </c>
      <c r="F40" s="7" t="s">
        <v>188</v>
      </c>
      <c r="G40" s="7" t="s">
        <v>120</v>
      </c>
      <c r="H40" s="7" t="s">
        <v>208</v>
      </c>
    </row>
    <row r="41" customFormat="false" ht="15" hidden="false" customHeight="false" outlineLevel="0" collapsed="false">
      <c r="A41" s="7" t="s">
        <v>110</v>
      </c>
      <c r="B41" s="7" t="s">
        <v>209</v>
      </c>
      <c r="C41" s="7" t="s">
        <v>38</v>
      </c>
      <c r="D41" s="7" t="s">
        <v>210</v>
      </c>
      <c r="E41" s="11" t="s">
        <v>22</v>
      </c>
      <c r="F41" s="7" t="s">
        <v>188</v>
      </c>
      <c r="G41" s="7" t="s">
        <v>120</v>
      </c>
      <c r="H41" s="7" t="s">
        <v>202</v>
      </c>
    </row>
    <row r="42" customFormat="false" ht="15" hidden="false" customHeight="false" outlineLevel="0" collapsed="false">
      <c r="A42" s="7" t="s">
        <v>110</v>
      </c>
      <c r="B42" s="7" t="s">
        <v>211</v>
      </c>
      <c r="C42" s="7" t="s">
        <v>38</v>
      </c>
      <c r="D42" s="7" t="s">
        <v>212</v>
      </c>
      <c r="E42" s="11" t="s">
        <v>22</v>
      </c>
      <c r="F42" s="7" t="s">
        <v>188</v>
      </c>
      <c r="G42" s="7" t="s">
        <v>120</v>
      </c>
      <c r="H42" s="7" t="s">
        <v>213</v>
      </c>
    </row>
    <row r="43" customFormat="false" ht="15" hidden="false" customHeight="false" outlineLevel="0" collapsed="false">
      <c r="A43" s="7" t="s">
        <v>110</v>
      </c>
      <c r="B43" s="7" t="s">
        <v>214</v>
      </c>
      <c r="C43" s="7" t="s">
        <v>38</v>
      </c>
      <c r="D43" s="7" t="s">
        <v>215</v>
      </c>
      <c r="E43" s="11" t="s">
        <v>22</v>
      </c>
      <c r="F43" s="7" t="s">
        <v>188</v>
      </c>
      <c r="G43" s="7" t="s">
        <v>120</v>
      </c>
      <c r="H43" s="7" t="s">
        <v>216</v>
      </c>
    </row>
    <row r="44" customFormat="false" ht="15" hidden="false" customHeight="false" outlineLevel="0" collapsed="false">
      <c r="A44" s="7" t="s">
        <v>110</v>
      </c>
      <c r="B44" s="7" t="s">
        <v>217</v>
      </c>
      <c r="C44" s="7" t="s">
        <v>38</v>
      </c>
      <c r="D44" s="7" t="s">
        <v>218</v>
      </c>
      <c r="E44" s="11" t="s">
        <v>22</v>
      </c>
      <c r="F44" s="7" t="s">
        <v>113</v>
      </c>
      <c r="G44" s="7" t="s">
        <v>120</v>
      </c>
      <c r="H44" s="7"/>
    </row>
    <row r="45" customFormat="false" ht="23.85" hidden="false" customHeight="false" outlineLevel="0" collapsed="false">
      <c r="A45" s="7" t="s">
        <v>110</v>
      </c>
      <c r="B45" s="7" t="s">
        <v>219</v>
      </c>
      <c r="C45" s="7" t="s">
        <v>38</v>
      </c>
      <c r="D45" s="7" t="s">
        <v>220</v>
      </c>
      <c r="E45" s="11" t="s">
        <v>22</v>
      </c>
      <c r="F45" s="7" t="s">
        <v>113</v>
      </c>
      <c r="G45" s="7" t="s">
        <v>114</v>
      </c>
      <c r="H45" s="7" t="s">
        <v>221</v>
      </c>
    </row>
    <row r="46" customFormat="false" ht="15" hidden="false" customHeight="false" outlineLevel="0" collapsed="false">
      <c r="A46" s="7" t="s">
        <v>110</v>
      </c>
      <c r="B46" s="7" t="s">
        <v>222</v>
      </c>
      <c r="C46" s="7" t="s">
        <v>38</v>
      </c>
      <c r="D46" s="7" t="s">
        <v>223</v>
      </c>
      <c r="E46" s="11" t="s">
        <v>22</v>
      </c>
      <c r="F46" s="7" t="s">
        <v>113</v>
      </c>
      <c r="G46" s="7" t="s">
        <v>114</v>
      </c>
      <c r="H46" s="7"/>
    </row>
    <row r="47" customFormat="false" ht="15" hidden="false" customHeight="false" outlineLevel="0" collapsed="false">
      <c r="A47" s="7" t="s">
        <v>110</v>
      </c>
      <c r="B47" s="7" t="s">
        <v>224</v>
      </c>
      <c r="C47" s="7" t="s">
        <v>38</v>
      </c>
      <c r="D47" s="7" t="s">
        <v>225</v>
      </c>
      <c r="E47" s="11" t="s">
        <v>22</v>
      </c>
      <c r="F47" s="7" t="s">
        <v>113</v>
      </c>
      <c r="G47" s="7" t="s">
        <v>114</v>
      </c>
      <c r="H47" s="7"/>
    </row>
    <row r="48" customFormat="false" ht="23.85" hidden="false" customHeight="false" outlineLevel="0" collapsed="false">
      <c r="A48" s="7" t="s">
        <v>110</v>
      </c>
      <c r="B48" s="7" t="s">
        <v>226</v>
      </c>
      <c r="C48" s="7" t="s">
        <v>38</v>
      </c>
      <c r="D48" s="7" t="s">
        <v>227</v>
      </c>
      <c r="E48" s="11" t="s">
        <v>22</v>
      </c>
      <c r="F48" s="7" t="s">
        <v>113</v>
      </c>
      <c r="G48" s="7" t="s">
        <v>114</v>
      </c>
      <c r="H48" s="7" t="s">
        <v>228</v>
      </c>
    </row>
    <row r="49" customFormat="false" ht="23.85" hidden="false" customHeight="false" outlineLevel="0" collapsed="false">
      <c r="A49" s="7" t="s">
        <v>110</v>
      </c>
      <c r="B49" s="7" t="s">
        <v>229</v>
      </c>
      <c r="C49" s="7" t="s">
        <v>38</v>
      </c>
      <c r="D49" s="7" t="s">
        <v>230</v>
      </c>
      <c r="E49" s="11" t="s">
        <v>22</v>
      </c>
      <c r="F49" s="7" t="s">
        <v>188</v>
      </c>
      <c r="G49" s="7" t="s">
        <v>120</v>
      </c>
      <c r="H49" s="7" t="s">
        <v>231</v>
      </c>
    </row>
    <row r="50" customFormat="false" ht="23.85" hidden="false" customHeight="false" outlineLevel="0" collapsed="false">
      <c r="A50" s="7" t="s">
        <v>110</v>
      </c>
      <c r="B50" s="7" t="s">
        <v>232</v>
      </c>
      <c r="C50" s="7" t="s">
        <v>40</v>
      </c>
      <c r="D50" s="7" t="s">
        <v>233</v>
      </c>
      <c r="E50" s="11" t="s">
        <v>22</v>
      </c>
      <c r="F50" s="7" t="s">
        <v>188</v>
      </c>
      <c r="G50" s="7" t="s">
        <v>120</v>
      </c>
      <c r="H50" s="7" t="s">
        <v>234</v>
      </c>
    </row>
    <row r="51" customFormat="false" ht="23.85" hidden="false" customHeight="false" outlineLevel="0" collapsed="false">
      <c r="A51" s="7" t="s">
        <v>110</v>
      </c>
      <c r="B51" s="7" t="s">
        <v>235</v>
      </c>
      <c r="C51" s="7" t="s">
        <v>40</v>
      </c>
      <c r="D51" s="7" t="s">
        <v>236</v>
      </c>
      <c r="E51" s="11" t="s">
        <v>22</v>
      </c>
      <c r="F51" s="7" t="s">
        <v>188</v>
      </c>
      <c r="G51" s="7" t="s">
        <v>120</v>
      </c>
      <c r="H51" s="7" t="s">
        <v>234</v>
      </c>
    </row>
    <row r="52" customFormat="false" ht="23.85" hidden="false" customHeight="false" outlineLevel="0" collapsed="false">
      <c r="A52" s="7" t="s">
        <v>110</v>
      </c>
      <c r="B52" s="7" t="s">
        <v>237</v>
      </c>
      <c r="C52" s="7" t="s">
        <v>40</v>
      </c>
      <c r="D52" s="7" t="s">
        <v>238</v>
      </c>
      <c r="E52" s="11" t="s">
        <v>22</v>
      </c>
      <c r="F52" s="7" t="s">
        <v>188</v>
      </c>
      <c r="G52" s="7" t="s">
        <v>120</v>
      </c>
      <c r="H52" s="7" t="s">
        <v>171</v>
      </c>
    </row>
    <row r="53" customFormat="false" ht="23.85" hidden="false" customHeight="false" outlineLevel="0" collapsed="false">
      <c r="A53" s="7" t="s">
        <v>110</v>
      </c>
      <c r="B53" s="7" t="s">
        <v>239</v>
      </c>
      <c r="C53" s="7" t="s">
        <v>40</v>
      </c>
      <c r="D53" s="7" t="s">
        <v>240</v>
      </c>
      <c r="E53" s="11" t="s">
        <v>22</v>
      </c>
      <c r="F53" s="7" t="s">
        <v>188</v>
      </c>
      <c r="G53" s="7" t="s">
        <v>120</v>
      </c>
      <c r="H53" s="7" t="s">
        <v>241</v>
      </c>
    </row>
    <row r="54" customFormat="false" ht="23.85" hidden="false" customHeight="false" outlineLevel="0" collapsed="false">
      <c r="A54" s="7" t="s">
        <v>110</v>
      </c>
      <c r="B54" s="7" t="s">
        <v>242</v>
      </c>
      <c r="C54" s="7" t="s">
        <v>40</v>
      </c>
      <c r="D54" s="7" t="s">
        <v>243</v>
      </c>
      <c r="E54" s="11" t="s">
        <v>22</v>
      </c>
      <c r="F54" s="7" t="s">
        <v>188</v>
      </c>
      <c r="G54" s="7" t="s">
        <v>120</v>
      </c>
      <c r="H54" s="7" t="s">
        <v>244</v>
      </c>
    </row>
    <row r="55" customFormat="false" ht="23.85" hidden="false" customHeight="false" outlineLevel="0" collapsed="false">
      <c r="A55" s="7" t="s">
        <v>110</v>
      </c>
      <c r="B55" s="7" t="s">
        <v>245</v>
      </c>
      <c r="C55" s="7" t="s">
        <v>40</v>
      </c>
      <c r="D55" s="7" t="s">
        <v>246</v>
      </c>
      <c r="E55" s="11" t="s">
        <v>22</v>
      </c>
      <c r="F55" s="7" t="s">
        <v>188</v>
      </c>
      <c r="G55" s="7" t="s">
        <v>120</v>
      </c>
      <c r="H55" s="7" t="s">
        <v>247</v>
      </c>
    </row>
    <row r="56" customFormat="false" ht="23.85" hidden="false" customHeight="false" outlineLevel="0" collapsed="false">
      <c r="A56" s="7" t="s">
        <v>110</v>
      </c>
      <c r="B56" s="7" t="s">
        <v>248</v>
      </c>
      <c r="C56" s="7" t="s">
        <v>40</v>
      </c>
      <c r="D56" s="7" t="s">
        <v>249</v>
      </c>
      <c r="E56" s="11" t="s">
        <v>22</v>
      </c>
      <c r="F56" s="7" t="s">
        <v>188</v>
      </c>
      <c r="G56" s="7" t="s">
        <v>120</v>
      </c>
      <c r="H56" s="7" t="s">
        <v>247</v>
      </c>
    </row>
    <row r="57" customFormat="false" ht="23.85" hidden="false" customHeight="false" outlineLevel="0" collapsed="false">
      <c r="A57" s="7" t="s">
        <v>110</v>
      </c>
      <c r="B57" s="7" t="s">
        <v>250</v>
      </c>
      <c r="C57" s="7" t="s">
        <v>40</v>
      </c>
      <c r="D57" s="7" t="s">
        <v>251</v>
      </c>
      <c r="E57" s="11" t="s">
        <v>22</v>
      </c>
      <c r="F57" s="7" t="s">
        <v>188</v>
      </c>
      <c r="G57" s="7" t="s">
        <v>120</v>
      </c>
      <c r="H57" s="7" t="s">
        <v>244</v>
      </c>
    </row>
    <row r="58" customFormat="false" ht="15" hidden="false" customHeight="false" outlineLevel="0" collapsed="false">
      <c r="A58" s="7" t="s">
        <v>110</v>
      </c>
      <c r="B58" s="7" t="s">
        <v>252</v>
      </c>
      <c r="C58" s="7" t="s">
        <v>40</v>
      </c>
      <c r="D58" s="7" t="s">
        <v>253</v>
      </c>
      <c r="E58" s="11" t="s">
        <v>22</v>
      </c>
      <c r="F58" s="7" t="s">
        <v>188</v>
      </c>
      <c r="G58" s="7" t="s">
        <v>120</v>
      </c>
      <c r="H58" s="7"/>
    </row>
    <row r="59" customFormat="false" ht="15" hidden="false" customHeight="false" outlineLevel="0" collapsed="false">
      <c r="A59" s="7" t="s">
        <v>110</v>
      </c>
      <c r="B59" s="7" t="s">
        <v>254</v>
      </c>
      <c r="C59" s="7" t="s">
        <v>40</v>
      </c>
      <c r="D59" s="7" t="s">
        <v>255</v>
      </c>
      <c r="E59" s="11" t="s">
        <v>22</v>
      </c>
      <c r="F59" s="7" t="s">
        <v>113</v>
      </c>
      <c r="G59" s="7" t="s">
        <v>120</v>
      </c>
      <c r="H59" s="7"/>
    </row>
    <row r="60" customFormat="false" ht="23.85" hidden="false" customHeight="false" outlineLevel="0" collapsed="false">
      <c r="A60" s="7" t="s">
        <v>110</v>
      </c>
      <c r="B60" s="7" t="s">
        <v>256</v>
      </c>
      <c r="C60" s="7" t="s">
        <v>40</v>
      </c>
      <c r="D60" s="7" t="s">
        <v>257</v>
      </c>
      <c r="E60" s="11" t="s">
        <v>22</v>
      </c>
      <c r="F60" s="7" t="s">
        <v>113</v>
      </c>
      <c r="G60" s="7" t="s">
        <v>114</v>
      </c>
      <c r="H60" s="7" t="s">
        <v>247</v>
      </c>
    </row>
    <row r="61" customFormat="false" ht="15" hidden="false" customHeight="false" outlineLevel="0" collapsed="false">
      <c r="A61" s="7" t="s">
        <v>110</v>
      </c>
      <c r="B61" s="7" t="s">
        <v>258</v>
      </c>
      <c r="C61" s="7" t="s">
        <v>40</v>
      </c>
      <c r="D61" s="7" t="s">
        <v>259</v>
      </c>
      <c r="E61" s="11" t="s">
        <v>22</v>
      </c>
      <c r="F61" s="7" t="s">
        <v>113</v>
      </c>
      <c r="G61" s="7" t="s">
        <v>114</v>
      </c>
      <c r="H61" s="7"/>
    </row>
    <row r="62" customFormat="false" ht="15" hidden="false" customHeight="false" outlineLevel="0" collapsed="false">
      <c r="A62" s="7" t="s">
        <v>110</v>
      </c>
      <c r="B62" s="7" t="s">
        <v>260</v>
      </c>
      <c r="C62" s="7" t="s">
        <v>42</v>
      </c>
      <c r="D62" s="7" t="s">
        <v>261</v>
      </c>
      <c r="E62" s="11" t="s">
        <v>22</v>
      </c>
      <c r="F62" s="7" t="s">
        <v>188</v>
      </c>
      <c r="G62" s="7" t="s">
        <v>120</v>
      </c>
      <c r="H62" s="7"/>
    </row>
    <row r="63" customFormat="false" ht="23.85" hidden="false" customHeight="false" outlineLevel="0" collapsed="false">
      <c r="A63" s="7" t="s">
        <v>110</v>
      </c>
      <c r="B63" s="7" t="s">
        <v>262</v>
      </c>
      <c r="C63" s="7" t="s">
        <v>42</v>
      </c>
      <c r="D63" s="7" t="s">
        <v>263</v>
      </c>
      <c r="E63" s="11" t="s">
        <v>22</v>
      </c>
      <c r="F63" s="7" t="s">
        <v>188</v>
      </c>
      <c r="G63" s="7" t="s">
        <v>120</v>
      </c>
      <c r="H63" s="7" t="s">
        <v>264</v>
      </c>
    </row>
    <row r="64" customFormat="false" ht="23.85" hidden="false" customHeight="false" outlineLevel="0" collapsed="false">
      <c r="A64" s="7" t="s">
        <v>110</v>
      </c>
      <c r="B64" s="7" t="s">
        <v>265</v>
      </c>
      <c r="C64" s="7" t="s">
        <v>42</v>
      </c>
      <c r="D64" s="7" t="s">
        <v>266</v>
      </c>
      <c r="E64" s="11" t="s">
        <v>22</v>
      </c>
      <c r="F64" s="7" t="s">
        <v>188</v>
      </c>
      <c r="G64" s="7" t="s">
        <v>120</v>
      </c>
      <c r="H64" s="7" t="s">
        <v>267</v>
      </c>
    </row>
    <row r="65" customFormat="false" ht="15" hidden="false" customHeight="false" outlineLevel="0" collapsed="false">
      <c r="A65" s="7" t="s">
        <v>110</v>
      </c>
      <c r="B65" s="7" t="s">
        <v>268</v>
      </c>
      <c r="C65" s="7" t="s">
        <v>42</v>
      </c>
      <c r="D65" s="7" t="s">
        <v>269</v>
      </c>
      <c r="E65" s="11" t="s">
        <v>22</v>
      </c>
      <c r="F65" s="7" t="s">
        <v>188</v>
      </c>
      <c r="G65" s="7" t="s">
        <v>120</v>
      </c>
      <c r="H65" s="7" t="s">
        <v>270</v>
      </c>
    </row>
    <row r="66" customFormat="false" ht="23.85" hidden="false" customHeight="false" outlineLevel="0" collapsed="false">
      <c r="A66" s="7" t="s">
        <v>110</v>
      </c>
      <c r="B66" s="7" t="s">
        <v>271</v>
      </c>
      <c r="C66" s="7" t="s">
        <v>42</v>
      </c>
      <c r="D66" s="7" t="s">
        <v>272</v>
      </c>
      <c r="E66" s="11" t="s">
        <v>22</v>
      </c>
      <c r="F66" s="7" t="s">
        <v>113</v>
      </c>
      <c r="G66" s="7" t="s">
        <v>114</v>
      </c>
      <c r="H66" s="7" t="s">
        <v>273</v>
      </c>
    </row>
    <row r="67" customFormat="false" ht="15" hidden="false" customHeight="false" outlineLevel="0" collapsed="false">
      <c r="A67" s="7" t="s">
        <v>110</v>
      </c>
      <c r="B67" s="7" t="s">
        <v>274</v>
      </c>
      <c r="C67" s="7" t="s">
        <v>42</v>
      </c>
      <c r="D67" s="7" t="s">
        <v>275</v>
      </c>
      <c r="E67" s="11" t="s">
        <v>22</v>
      </c>
      <c r="F67" s="7" t="s">
        <v>113</v>
      </c>
      <c r="G67" s="7" t="s">
        <v>114</v>
      </c>
      <c r="H67" s="7"/>
    </row>
    <row r="68" customFormat="false" ht="23.85" hidden="false" customHeight="false" outlineLevel="0" collapsed="false">
      <c r="A68" s="7" t="s">
        <v>110</v>
      </c>
      <c r="B68" s="7" t="s">
        <v>276</v>
      </c>
      <c r="C68" s="7" t="s">
        <v>42</v>
      </c>
      <c r="D68" s="7" t="s">
        <v>277</v>
      </c>
      <c r="E68" s="11" t="s">
        <v>22</v>
      </c>
      <c r="F68" s="7" t="s">
        <v>113</v>
      </c>
      <c r="G68" s="7" t="s">
        <v>114</v>
      </c>
      <c r="H68" s="7"/>
    </row>
    <row r="69" customFormat="false" ht="15" hidden="false" customHeight="false" outlineLevel="0" collapsed="false">
      <c r="A69" s="7" t="s">
        <v>110</v>
      </c>
      <c r="B69" s="7" t="s">
        <v>278</v>
      </c>
      <c r="C69" s="7" t="s">
        <v>44</v>
      </c>
      <c r="D69" s="7" t="s">
        <v>279</v>
      </c>
      <c r="E69" s="11" t="s">
        <v>22</v>
      </c>
      <c r="F69" s="7" t="s">
        <v>188</v>
      </c>
      <c r="G69" s="7" t="s">
        <v>120</v>
      </c>
      <c r="H69" s="7" t="s">
        <v>280</v>
      </c>
    </row>
    <row r="70" customFormat="false" ht="15" hidden="false" customHeight="false" outlineLevel="0" collapsed="false">
      <c r="A70" s="7" t="s">
        <v>110</v>
      </c>
      <c r="B70" s="7" t="s">
        <v>281</v>
      </c>
      <c r="C70" s="7" t="s">
        <v>44</v>
      </c>
      <c r="D70" s="7" t="s">
        <v>282</v>
      </c>
      <c r="E70" s="11" t="s">
        <v>22</v>
      </c>
      <c r="F70" s="7" t="s">
        <v>113</v>
      </c>
      <c r="G70" s="7" t="s">
        <v>114</v>
      </c>
      <c r="H70" s="7"/>
    </row>
    <row r="71" customFormat="false" ht="23.85" hidden="false" customHeight="false" outlineLevel="0" collapsed="false">
      <c r="A71" s="7" t="s">
        <v>110</v>
      </c>
      <c r="B71" s="7" t="s">
        <v>283</v>
      </c>
      <c r="C71" s="7" t="s">
        <v>44</v>
      </c>
      <c r="D71" s="7" t="s">
        <v>284</v>
      </c>
      <c r="E71" s="11" t="s">
        <v>22</v>
      </c>
      <c r="F71" s="7" t="s">
        <v>113</v>
      </c>
      <c r="G71" s="7" t="s">
        <v>114</v>
      </c>
      <c r="H71" s="7" t="s">
        <v>285</v>
      </c>
    </row>
    <row r="72" customFormat="false" ht="15" hidden="false" customHeight="false" outlineLevel="0" collapsed="false">
      <c r="A72" s="7" t="s">
        <v>110</v>
      </c>
      <c r="B72" s="7" t="s">
        <v>286</v>
      </c>
      <c r="C72" s="7" t="s">
        <v>44</v>
      </c>
      <c r="D72" s="7" t="s">
        <v>287</v>
      </c>
      <c r="E72" s="11" t="s">
        <v>22</v>
      </c>
      <c r="F72" s="7" t="s">
        <v>113</v>
      </c>
      <c r="G72" s="7" t="s">
        <v>114</v>
      </c>
      <c r="H72" s="7" t="s">
        <v>280</v>
      </c>
    </row>
    <row r="73" customFormat="false" ht="23.85" hidden="false" customHeight="false" outlineLevel="0" collapsed="false">
      <c r="A73" s="7" t="s">
        <v>110</v>
      </c>
      <c r="B73" s="7" t="s">
        <v>288</v>
      </c>
      <c r="C73" s="7" t="s">
        <v>46</v>
      </c>
      <c r="D73" s="7" t="s">
        <v>289</v>
      </c>
      <c r="E73" s="11" t="s">
        <v>22</v>
      </c>
      <c r="F73" s="7" t="s">
        <v>113</v>
      </c>
      <c r="G73" s="7" t="s">
        <v>120</v>
      </c>
      <c r="H73" s="7" t="s">
        <v>199</v>
      </c>
    </row>
    <row r="74" customFormat="false" ht="23.85" hidden="false" customHeight="false" outlineLevel="0" collapsed="false">
      <c r="A74" s="7" t="s">
        <v>110</v>
      </c>
      <c r="B74" s="7" t="s">
        <v>290</v>
      </c>
      <c r="C74" s="7" t="s">
        <v>46</v>
      </c>
      <c r="D74" s="7" t="s">
        <v>291</v>
      </c>
      <c r="E74" s="11" t="s">
        <v>22</v>
      </c>
      <c r="F74" s="7" t="s">
        <v>113</v>
      </c>
      <c r="G74" s="7" t="s">
        <v>120</v>
      </c>
      <c r="H74" s="7"/>
    </row>
    <row r="75" customFormat="false" ht="23.85" hidden="false" customHeight="false" outlineLevel="0" collapsed="false">
      <c r="A75" s="7" t="s">
        <v>110</v>
      </c>
      <c r="B75" s="7" t="s">
        <v>292</v>
      </c>
      <c r="C75" s="7" t="s">
        <v>46</v>
      </c>
      <c r="D75" s="7" t="s">
        <v>293</v>
      </c>
      <c r="E75" s="11" t="s">
        <v>22</v>
      </c>
      <c r="F75" s="7" t="s">
        <v>113</v>
      </c>
      <c r="G75" s="7" t="s">
        <v>114</v>
      </c>
      <c r="H75" s="7" t="s">
        <v>294</v>
      </c>
    </row>
    <row r="76" customFormat="false" ht="15" hidden="false" customHeight="false" outlineLevel="0" collapsed="false">
      <c r="A76" s="7" t="s">
        <v>110</v>
      </c>
      <c r="B76" s="7" t="s">
        <v>295</v>
      </c>
      <c r="C76" s="7" t="s">
        <v>46</v>
      </c>
      <c r="D76" s="7" t="s">
        <v>296</v>
      </c>
      <c r="E76" s="11" t="s">
        <v>22</v>
      </c>
      <c r="F76" s="7" t="s">
        <v>113</v>
      </c>
      <c r="G76" s="7" t="s">
        <v>114</v>
      </c>
      <c r="H76" s="7"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46"/>
    <col collapsed="false" customWidth="true" hidden="false" outlineLevel="0" max="4" min="4" style="0" width="12"/>
    <col collapsed="false" customWidth="true" hidden="false" outlineLevel="0" max="5" min="5" style="0" width="30"/>
    <col collapsed="false" customWidth="true" hidden="false" outlineLevel="0" max="6" min="6" style="0" width="22"/>
  </cols>
  <sheetData>
    <row r="2" customFormat="false" ht="19.7" hidden="false" customHeight="false" outlineLevel="0" collapsed="false">
      <c r="B2" s="1" t="s">
        <v>297</v>
      </c>
    </row>
    <row r="3" customFormat="false" ht="30" hidden="false" customHeight="true" outlineLevel="0" collapsed="false">
      <c r="B3" s="13" t="s">
        <v>298</v>
      </c>
      <c r="C3" s="13"/>
      <c r="D3" s="13"/>
      <c r="E3" s="13"/>
      <c r="F3" s="13"/>
      <c r="G3" s="13"/>
      <c r="H3" s="13"/>
    </row>
    <row r="5" customFormat="false" ht="15" hidden="false" customHeight="false" outlineLevel="0" collapsed="false">
      <c r="A5" s="5"/>
      <c r="B5" s="5" t="s">
        <v>299</v>
      </c>
      <c r="C5" s="5" t="s">
        <v>300</v>
      </c>
      <c r="D5" s="5" t="s">
        <v>80</v>
      </c>
      <c r="E5" s="5" t="s">
        <v>301</v>
      </c>
      <c r="F5" s="10" t="s">
        <v>302</v>
      </c>
    </row>
    <row r="6" customFormat="false" ht="30" hidden="false" customHeight="true" outlineLevel="0" collapsed="false">
      <c r="B6" s="7" t="s">
        <v>185</v>
      </c>
      <c r="C6" s="7" t="s">
        <v>303</v>
      </c>
      <c r="D6" s="7" t="s">
        <v>34</v>
      </c>
      <c r="E6" s="7" t="s">
        <v>304</v>
      </c>
      <c r="F6" s="7" t="s">
        <v>305</v>
      </c>
    </row>
    <row r="7" customFormat="false" ht="30" hidden="false" customHeight="true" outlineLevel="0" collapsed="false">
      <c r="B7" s="7" t="s">
        <v>306</v>
      </c>
      <c r="C7" s="7" t="s">
        <v>307</v>
      </c>
      <c r="D7" s="7" t="s">
        <v>36</v>
      </c>
      <c r="E7" s="7" t="s">
        <v>197</v>
      </c>
      <c r="F7" s="7" t="s">
        <v>305</v>
      </c>
    </row>
    <row r="8" customFormat="false" ht="30" hidden="false" customHeight="true" outlineLevel="0" collapsed="false">
      <c r="B8" s="7" t="s">
        <v>308</v>
      </c>
      <c r="C8" s="7" t="s">
        <v>309</v>
      </c>
      <c r="D8" s="7" t="s">
        <v>36</v>
      </c>
      <c r="E8" s="7" t="s">
        <v>197</v>
      </c>
      <c r="F8" s="7" t="s">
        <v>305</v>
      </c>
    </row>
    <row r="9" customFormat="false" ht="30" hidden="false" customHeight="true" outlineLevel="0" collapsed="false">
      <c r="B9" s="7" t="s">
        <v>125</v>
      </c>
      <c r="C9" s="7" t="s">
        <v>310</v>
      </c>
      <c r="D9" s="7" t="s">
        <v>34</v>
      </c>
      <c r="E9" s="7" t="s">
        <v>311</v>
      </c>
      <c r="F9" s="7" t="s">
        <v>305</v>
      </c>
    </row>
    <row r="10" customFormat="false" ht="30" hidden="false" customHeight="true" outlineLevel="0" collapsed="false">
      <c r="B10" s="7" t="s">
        <v>191</v>
      </c>
      <c r="C10" s="7" t="s">
        <v>312</v>
      </c>
      <c r="D10" s="7" t="s">
        <v>313</v>
      </c>
      <c r="E10" s="7" t="s">
        <v>314</v>
      </c>
      <c r="F10" s="7" t="s">
        <v>305</v>
      </c>
    </row>
    <row r="11" customFormat="false" ht="30" hidden="false" customHeight="true" outlineLevel="0" collapsed="false">
      <c r="B11" s="7" t="s">
        <v>228</v>
      </c>
      <c r="C11" s="7" t="s">
        <v>315</v>
      </c>
      <c r="D11" s="7" t="s">
        <v>38</v>
      </c>
      <c r="E11" s="7" t="s">
        <v>226</v>
      </c>
      <c r="F11" s="7" t="s">
        <v>305</v>
      </c>
    </row>
    <row r="12" customFormat="false" ht="30" hidden="false" customHeight="true" outlineLevel="0" collapsed="false">
      <c r="B12" s="7" t="s">
        <v>194</v>
      </c>
      <c r="C12" s="7" t="s">
        <v>316</v>
      </c>
      <c r="D12" s="7" t="s">
        <v>36</v>
      </c>
      <c r="E12" s="7" t="s">
        <v>192</v>
      </c>
      <c r="F12" s="7" t="s">
        <v>305</v>
      </c>
    </row>
    <row r="13" customFormat="false" ht="30" hidden="false" customHeight="true" outlineLevel="0" collapsed="false">
      <c r="B13" s="7" t="s">
        <v>153</v>
      </c>
      <c r="C13" s="7" t="s">
        <v>317</v>
      </c>
      <c r="D13" s="7" t="s">
        <v>318</v>
      </c>
      <c r="E13" s="7" t="s">
        <v>319</v>
      </c>
      <c r="F13" s="7" t="s">
        <v>305</v>
      </c>
    </row>
    <row r="14" customFormat="false" ht="30" hidden="false" customHeight="true" outlineLevel="0" collapsed="false">
      <c r="B14" s="7" t="s">
        <v>320</v>
      </c>
      <c r="C14" s="7" t="s">
        <v>321</v>
      </c>
      <c r="D14" s="7" t="s">
        <v>34</v>
      </c>
      <c r="E14" s="7" t="s">
        <v>148</v>
      </c>
      <c r="F14" s="7" t="s">
        <v>305</v>
      </c>
    </row>
    <row r="15" customFormat="false" ht="30" hidden="false" customHeight="true" outlineLevel="0" collapsed="false">
      <c r="B15" s="7" t="s">
        <v>202</v>
      </c>
      <c r="C15" s="7" t="s">
        <v>322</v>
      </c>
      <c r="D15" s="7" t="s">
        <v>318</v>
      </c>
      <c r="E15" s="7" t="s">
        <v>323</v>
      </c>
      <c r="F15" s="7" t="s">
        <v>305</v>
      </c>
    </row>
    <row r="16" customFormat="false" ht="30" hidden="false" customHeight="true" outlineLevel="0" collapsed="false">
      <c r="B16" s="7" t="s">
        <v>324</v>
      </c>
      <c r="C16" s="7" t="s">
        <v>325</v>
      </c>
      <c r="D16" s="7" t="s">
        <v>34</v>
      </c>
      <c r="E16" s="7" t="s">
        <v>143</v>
      </c>
      <c r="F16" s="7" t="s">
        <v>305</v>
      </c>
    </row>
    <row r="17" customFormat="false" ht="30" hidden="false" customHeight="true" outlineLevel="0" collapsed="false">
      <c r="B17" s="7" t="s">
        <v>326</v>
      </c>
      <c r="C17" s="7" t="s">
        <v>327</v>
      </c>
      <c r="D17" s="7" t="s">
        <v>318</v>
      </c>
      <c r="E17" s="7" t="s">
        <v>328</v>
      </c>
      <c r="F17" s="7" t="s">
        <v>305</v>
      </c>
    </row>
    <row r="18" customFormat="false" ht="30" hidden="false" customHeight="true" outlineLevel="0" collapsed="false">
      <c r="B18" s="7" t="s">
        <v>329</v>
      </c>
      <c r="C18" s="7" t="s">
        <v>330</v>
      </c>
      <c r="D18" s="7" t="s">
        <v>38</v>
      </c>
      <c r="E18" s="7" t="s">
        <v>331</v>
      </c>
      <c r="F18" s="7" t="s">
        <v>305</v>
      </c>
    </row>
    <row r="19" customFormat="false" ht="30" hidden="false" customHeight="true" outlineLevel="0" collapsed="false">
      <c r="B19" s="7" t="s">
        <v>205</v>
      </c>
      <c r="C19" s="7" t="s">
        <v>332</v>
      </c>
      <c r="D19" s="7" t="s">
        <v>38</v>
      </c>
      <c r="E19" s="7" t="s">
        <v>203</v>
      </c>
      <c r="F19" s="7" t="s">
        <v>305</v>
      </c>
    </row>
    <row r="20" customFormat="false" ht="30" hidden="false" customHeight="true" outlineLevel="0" collapsed="false">
      <c r="B20" s="7" t="s">
        <v>333</v>
      </c>
      <c r="C20" s="7" t="s">
        <v>334</v>
      </c>
      <c r="D20" s="7" t="s">
        <v>34</v>
      </c>
      <c r="E20" s="7" t="s">
        <v>143</v>
      </c>
      <c r="F20" s="7" t="s">
        <v>305</v>
      </c>
    </row>
    <row r="21" customFormat="false" ht="30" hidden="false" customHeight="true" outlineLevel="0" collapsed="false">
      <c r="B21" s="7" t="s">
        <v>213</v>
      </c>
      <c r="C21" s="7" t="s">
        <v>335</v>
      </c>
      <c r="D21" s="7" t="s">
        <v>38</v>
      </c>
      <c r="E21" s="7" t="s">
        <v>211</v>
      </c>
      <c r="F21" s="7" t="s">
        <v>305</v>
      </c>
    </row>
    <row r="22" customFormat="false" ht="30" hidden="false" customHeight="true" outlineLevel="0" collapsed="false">
      <c r="B22" s="7" t="s">
        <v>336</v>
      </c>
      <c r="C22" s="7" t="s">
        <v>337</v>
      </c>
      <c r="D22" s="7" t="s">
        <v>38</v>
      </c>
      <c r="E22" s="7" t="s">
        <v>219</v>
      </c>
      <c r="F22" s="7" t="s">
        <v>305</v>
      </c>
    </row>
    <row r="23" customFormat="false" ht="30" hidden="false" customHeight="true" outlineLevel="0" collapsed="false">
      <c r="B23" s="7" t="s">
        <v>338</v>
      </c>
      <c r="C23" s="7" t="s">
        <v>339</v>
      </c>
      <c r="D23" s="7" t="s">
        <v>34</v>
      </c>
      <c r="E23" s="7" t="s">
        <v>163</v>
      </c>
      <c r="F23" s="7" t="s">
        <v>305</v>
      </c>
    </row>
    <row r="24" customFormat="false" ht="30" hidden="false" customHeight="true" outlineLevel="0" collapsed="false">
      <c r="B24" s="7" t="s">
        <v>168</v>
      </c>
      <c r="C24" s="7" t="s">
        <v>340</v>
      </c>
      <c r="D24" s="7" t="s">
        <v>341</v>
      </c>
      <c r="E24" s="7" t="s">
        <v>342</v>
      </c>
      <c r="F24" s="7" t="s">
        <v>305</v>
      </c>
    </row>
    <row r="25" customFormat="false" ht="30" hidden="false" customHeight="true" outlineLevel="0" collapsed="false">
      <c r="B25" s="7" t="s">
        <v>343</v>
      </c>
      <c r="C25" s="7" t="s">
        <v>344</v>
      </c>
      <c r="D25" s="7" t="s">
        <v>345</v>
      </c>
      <c r="E25" s="7" t="s">
        <v>346</v>
      </c>
      <c r="F25" s="7" t="s">
        <v>305</v>
      </c>
    </row>
    <row r="26" customFormat="false" ht="30" hidden="false" customHeight="true" outlineLevel="0" collapsed="false">
      <c r="B26" s="7" t="s">
        <v>244</v>
      </c>
      <c r="C26" s="7" t="s">
        <v>347</v>
      </c>
      <c r="D26" s="7" t="s">
        <v>40</v>
      </c>
      <c r="E26" s="7" t="s">
        <v>348</v>
      </c>
      <c r="F26" s="7" t="s">
        <v>305</v>
      </c>
    </row>
    <row r="27" customFormat="false" ht="30" hidden="false" customHeight="true" outlineLevel="0" collapsed="false">
      <c r="B27" s="7" t="s">
        <v>171</v>
      </c>
      <c r="C27" s="7" t="s">
        <v>349</v>
      </c>
      <c r="D27" s="7" t="s">
        <v>341</v>
      </c>
      <c r="E27" s="7" t="s">
        <v>350</v>
      </c>
      <c r="F27" s="7" t="s">
        <v>305</v>
      </c>
    </row>
    <row r="28" customFormat="false" ht="30" hidden="false" customHeight="true" outlineLevel="0" collapsed="false">
      <c r="B28" s="7" t="s">
        <v>351</v>
      </c>
      <c r="C28" s="7" t="s">
        <v>352</v>
      </c>
      <c r="D28" s="7" t="s">
        <v>34</v>
      </c>
      <c r="E28" s="7" t="s">
        <v>163</v>
      </c>
      <c r="F28" s="7" t="s">
        <v>305</v>
      </c>
    </row>
    <row r="29" customFormat="false" ht="30" hidden="false" customHeight="true" outlineLevel="0" collapsed="false">
      <c r="B29" s="7" t="s">
        <v>247</v>
      </c>
      <c r="C29" s="7" t="s">
        <v>353</v>
      </c>
      <c r="D29" s="7" t="s">
        <v>40</v>
      </c>
      <c r="E29" s="7" t="s">
        <v>354</v>
      </c>
      <c r="F29" s="7" t="s">
        <v>305</v>
      </c>
    </row>
    <row r="30" customFormat="false" ht="30" hidden="false" customHeight="true" outlineLevel="0" collapsed="false">
      <c r="B30" s="7" t="s">
        <v>273</v>
      </c>
      <c r="C30" s="7" t="s">
        <v>355</v>
      </c>
      <c r="D30" s="7" t="s">
        <v>42</v>
      </c>
      <c r="E30" s="7" t="s">
        <v>271</v>
      </c>
      <c r="F30" s="7" t="s">
        <v>305</v>
      </c>
    </row>
    <row r="31" customFormat="false" ht="30" hidden="false" customHeight="true" outlineLevel="0" collapsed="false">
      <c r="B31" s="7" t="s">
        <v>356</v>
      </c>
      <c r="C31" s="7" t="s">
        <v>357</v>
      </c>
      <c r="D31" s="7" t="s">
        <v>42</v>
      </c>
      <c r="E31" s="7" t="s">
        <v>262</v>
      </c>
      <c r="F31" s="7" t="s">
        <v>305</v>
      </c>
    </row>
    <row r="32" customFormat="false" ht="30" hidden="false" customHeight="true" outlineLevel="0" collapsed="false">
      <c r="B32" s="7" t="s">
        <v>178</v>
      </c>
      <c r="C32" s="7" t="s">
        <v>358</v>
      </c>
      <c r="D32" s="7" t="s">
        <v>359</v>
      </c>
      <c r="E32" s="7" t="s">
        <v>360</v>
      </c>
      <c r="F32" s="7" t="s">
        <v>305</v>
      </c>
    </row>
    <row r="33" customFormat="false" ht="30" hidden="false" customHeight="true" outlineLevel="0" collapsed="false">
      <c r="B33" s="7" t="s">
        <v>267</v>
      </c>
      <c r="C33" s="7" t="s">
        <v>361</v>
      </c>
      <c r="D33" s="7" t="s">
        <v>42</v>
      </c>
      <c r="E33" s="7" t="s">
        <v>265</v>
      </c>
      <c r="F33" s="7" t="s">
        <v>305</v>
      </c>
    </row>
    <row r="34" customFormat="false" ht="30" hidden="false" customHeight="true" outlineLevel="0" collapsed="false">
      <c r="B34" s="7" t="s">
        <v>362</v>
      </c>
      <c r="C34" s="7" t="s">
        <v>363</v>
      </c>
      <c r="D34" s="7" t="s">
        <v>44</v>
      </c>
      <c r="E34" s="7" t="s">
        <v>283</v>
      </c>
      <c r="F34" s="7" t="s">
        <v>305</v>
      </c>
    </row>
    <row r="35" customFormat="false" ht="30" hidden="false" customHeight="true" outlineLevel="0" collapsed="false">
      <c r="B35" s="7" t="s">
        <v>160</v>
      </c>
      <c r="C35" s="7" t="s">
        <v>364</v>
      </c>
      <c r="D35" s="7" t="s">
        <v>318</v>
      </c>
      <c r="E35" s="7" t="s">
        <v>365</v>
      </c>
      <c r="F35" s="7" t="s">
        <v>305</v>
      </c>
    </row>
    <row r="36" customFormat="false" ht="30" hidden="false" customHeight="true" outlineLevel="0" collapsed="false">
      <c r="B36" s="7" t="s">
        <v>117</v>
      </c>
      <c r="C36" s="7" t="s">
        <v>366</v>
      </c>
      <c r="D36" s="7" t="s">
        <v>367</v>
      </c>
      <c r="E36" s="7" t="s">
        <v>368</v>
      </c>
      <c r="F36" s="7" t="s">
        <v>305</v>
      </c>
    </row>
    <row r="37" customFormat="false" ht="30" hidden="false" customHeight="true" outlineLevel="0" collapsed="false">
      <c r="B37" s="7" t="s">
        <v>280</v>
      </c>
      <c r="C37" s="7" t="s">
        <v>369</v>
      </c>
      <c r="D37" s="7" t="s">
        <v>44</v>
      </c>
      <c r="E37" s="7" t="s">
        <v>370</v>
      </c>
      <c r="F37" s="7" t="s">
        <v>371</v>
      </c>
    </row>
    <row r="38" customFormat="false" ht="30" hidden="false" customHeight="true" outlineLevel="0" collapsed="false">
      <c r="B38" s="7" t="s">
        <v>231</v>
      </c>
      <c r="C38" s="7" t="s">
        <v>372</v>
      </c>
      <c r="D38" s="7" t="s">
        <v>38</v>
      </c>
      <c r="E38" s="7" t="s">
        <v>373</v>
      </c>
      <c r="F38" s="7" t="s">
        <v>371</v>
      </c>
    </row>
    <row r="39" customFormat="false" ht="30" hidden="false" customHeight="true" outlineLevel="0" collapsed="false">
      <c r="B39" s="7" t="s">
        <v>374</v>
      </c>
      <c r="C39" s="7" t="s">
        <v>375</v>
      </c>
      <c r="D39" s="7" t="s">
        <v>40</v>
      </c>
      <c r="E39" s="7" t="s">
        <v>376</v>
      </c>
      <c r="F39" s="14" t="s">
        <v>377</v>
      </c>
    </row>
  </sheetData>
  <mergeCells count="1">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2026-08-01T22:25:15Z</dcterms:created>
  <dc:creator>openpyxl</dc:creator>
  <dc:description/>
  <dc:language>en-US</dc:language>
  <cp:lastModifiedBy/>
  <dcterms:modified xsi:type="dcterms:W3CDTF">2026-08-01T22:25:15Z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